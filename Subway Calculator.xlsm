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jasmn\Documents\Personal Projects\Subway Calculator\"/>
    </mc:Choice>
  </mc:AlternateContent>
  <xr:revisionPtr revIDLastSave="0" documentId="13_ncr:1_{624496FD-E48B-480D-A044-F2BE4A109A10}" xr6:coauthVersionLast="47" xr6:coauthVersionMax="47" xr10:uidLastSave="{00000000-0000-0000-0000-000000000000}"/>
  <bookViews>
    <workbookView xWindow="-110" yWindow="-110" windowWidth="22780" windowHeight="14660" firstSheet="10" activeTab="16" xr2:uid="{00000000-000D-0000-FFFF-FFFF00000000}"/>
  </bookViews>
  <sheets>
    <sheet name="OG sheet 1" sheetId="1" state="hidden" r:id="rId1"/>
    <sheet name="OG sheet 2" sheetId="2" state="hidden" r:id="rId2"/>
    <sheet name="Cleaned sheet 1" sheetId="3" state="hidden" r:id="rId3"/>
    <sheet name="Cleaned sheet 2" sheetId="8" state="hidden" r:id="rId4"/>
    <sheet name="Meat" sheetId="4" state="hidden" r:id="rId5"/>
    <sheet name="Formulas" sheetId="22" state="hidden" r:id="rId6"/>
    <sheet name="Bread" sheetId="7" state="hidden" r:id="rId7"/>
    <sheet name="Sandwich Items" sheetId="17" state="hidden" r:id="rId8"/>
    <sheet name="Cheese" sheetId="6" state="hidden" r:id="rId9"/>
    <sheet name="Toppings" sheetId="11" state="hidden" r:id="rId10"/>
    <sheet name="Sandwich UI" sheetId="14" r:id="rId11"/>
    <sheet name="Sides UI" sheetId="19" r:id="rId12"/>
    <sheet name="Selections" sheetId="13" state="hidden" r:id="rId13"/>
    <sheet name="Vegetables" sheetId="9" state="hidden" r:id="rId14"/>
    <sheet name="Dressings" sheetId="12" state="hidden" r:id="rId15"/>
    <sheet name="Meal UI" sheetId="21" r:id="rId16"/>
    <sheet name="Nutritional Info" sheetId="16" r:id="rId17"/>
    <sheet name="Sides" sheetId="18" state="hidden" r:id="rId18"/>
  </sheets>
  <functionGroups builtInGroupCount="19"/>
  <definedNames>
    <definedName name="_xlnm._FilterDatabase" localSheetId="16" hidden="1">'Nutritional Info'!#REF!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4" i="16" l="1" a="1"/>
  <c r="I84" i="16" a="1"/>
  <c r="M84" i="16" a="1"/>
  <c r="J84" i="16" a="1"/>
  <c r="G84" i="16" a="1"/>
  <c r="H84" i="16" a="1"/>
  <c r="F84" i="16" a="1"/>
  <c r="K84" i="16" a="1"/>
  <c r="L84" i="16" a="1"/>
  <c r="D84" i="16" a="1"/>
  <c r="E67" i="16" a="1"/>
  <c r="I67" i="16" a="1"/>
  <c r="M67" i="16" a="1"/>
  <c r="L67" i="16" a="1"/>
  <c r="J67" i="16" a="1"/>
  <c r="F67" i="16" a="1"/>
  <c r="K67" i="16" a="1"/>
  <c r="H67" i="16" a="1"/>
  <c r="G67" i="16" a="1"/>
  <c r="D67" i="16" a="1"/>
  <c r="E44" i="16" a="1"/>
  <c r="I44" i="16" a="1"/>
  <c r="M44" i="16" a="1"/>
  <c r="K44" i="16" a="1"/>
  <c r="H44" i="16" a="1"/>
  <c r="L44" i="16" a="1"/>
  <c r="F44" i="16" a="1"/>
  <c r="G44" i="16" a="1"/>
  <c r="J44" i="16" a="1"/>
  <c r="D44" i="16" a="1"/>
  <c r="G36" i="16" a="1"/>
  <c r="K36" i="16" a="1"/>
  <c r="O36" i="16" a="1"/>
  <c r="L36" i="16" a="1"/>
  <c r="J36" i="16" a="1"/>
  <c r="H36" i="16" a="1"/>
  <c r="I36" i="16" a="1"/>
  <c r="M36" i="16" a="1"/>
  <c r="N36" i="16" a="1"/>
  <c r="F36" i="16" a="1"/>
  <c r="E37" i="16" a="1"/>
  <c r="E38" i="16" a="1"/>
  <c r="D37" i="16" a="1"/>
  <c r="D38" i="16" a="1"/>
  <c r="D36" i="16" a="1"/>
  <c r="G18" i="16" a="1"/>
  <c r="K18" i="16" a="1"/>
  <c r="O18" i="16" a="1"/>
  <c r="L18" i="16" a="1"/>
  <c r="M18" i="16" a="1"/>
  <c r="J18" i="16" a="1"/>
  <c r="H18" i="16" a="1"/>
  <c r="I18" i="16" a="1"/>
  <c r="N18" i="16" a="1"/>
  <c r="F18" i="16" a="1"/>
  <c r="E20" i="16" a="1"/>
  <c r="E24" i="16" a="1"/>
  <c r="E28" i="16" a="1"/>
  <c r="E26" i="16" a="1"/>
  <c r="E23" i="16" a="1"/>
  <c r="E25" i="16" a="1"/>
  <c r="E29" i="16" a="1"/>
  <c r="E22" i="16" a="1"/>
  <c r="E30" i="16" a="1"/>
  <c r="E19" i="16" a="1"/>
  <c r="E27" i="16" a="1"/>
  <c r="E18" i="16" a="1"/>
  <c r="D19" i="16" a="1"/>
  <c r="D23" i="16" a="1"/>
  <c r="D27" i="16" a="1"/>
  <c r="D24" i="16" a="1"/>
  <c r="D28" i="16" a="1"/>
  <c r="D22" i="16" a="1"/>
  <c r="D30" i="16" a="1"/>
  <c r="D20" i="16" a="1"/>
  <c r="D25" i="16" a="1"/>
  <c r="D21" i="16" a="1"/>
  <c r="D29" i="16" a="1"/>
  <c r="D26" i="16" a="1"/>
  <c r="D18" i="16" a="1"/>
  <c r="E12" i="16" a="1"/>
  <c r="I12" i="16" a="1"/>
  <c r="M12" i="16" a="1"/>
  <c r="L12" i="16" a="1"/>
  <c r="J12" i="16" a="1"/>
  <c r="F12" i="16" a="1"/>
  <c r="K12" i="16" a="1"/>
  <c r="G12" i="16" a="1"/>
  <c r="H12" i="16" a="1"/>
  <c r="D12" i="16" a="1"/>
  <c r="E5" i="16" a="1"/>
  <c r="I5" i="16" a="1"/>
  <c r="M5" i="16" a="1"/>
  <c r="K5" i="16" a="1"/>
  <c r="H5" i="16" a="1"/>
  <c r="F5" i="16" a="1"/>
  <c r="G5" i="16" a="1"/>
  <c r="L5" i="16" a="1"/>
  <c r="J5" i="16" a="1"/>
  <c r="D5" i="16" a="1"/>
  <c r="Y39" i="16" a="1"/>
  <c r="AC39" i="16" a="1"/>
  <c r="AG39" i="16" a="1"/>
  <c r="AB40" i="16" a="1"/>
  <c r="AF40" i="16" a="1"/>
  <c r="AA39" i="16" a="1"/>
  <c r="AD40" i="16" a="1"/>
  <c r="AF39" i="16" a="1"/>
  <c r="AE40" i="16" a="1"/>
  <c r="Z39" i="16" a="1"/>
  <c r="Y40" i="16" a="1"/>
  <c r="AC40" i="16" a="1"/>
  <c r="AG40" i="16" a="1"/>
  <c r="AE39" i="16" a="1"/>
  <c r="Z40" i="16" a="1"/>
  <c r="AA40" i="16" a="1"/>
  <c r="AD39" i="16" a="1"/>
  <c r="AB39" i="16" a="1"/>
  <c r="X38" i="16" a="1"/>
  <c r="W39" i="16" a="1"/>
  <c r="W40" i="16" a="1"/>
  <c r="W38" i="16" a="1"/>
  <c r="Z32" i="16" a="1"/>
  <c r="AD32" i="16" a="1"/>
  <c r="Y33" i="16" a="1"/>
  <c r="AC33" i="16" a="1"/>
  <c r="AG33" i="16" a="1"/>
  <c r="AA32" i="16" a="1"/>
  <c r="AE32" i="16" a="1"/>
  <c r="Z33" i="16" a="1"/>
  <c r="AD33" i="16" a="1"/>
  <c r="AB32" i="16" a="1"/>
  <c r="AF32" i="16" a="1"/>
  <c r="AA33" i="16" a="1"/>
  <c r="Y32" i="16" a="1"/>
  <c r="AC32" i="16" a="1"/>
  <c r="AG32" i="16" a="1"/>
  <c r="AB33" i="16" a="1"/>
  <c r="AF33" i="16" a="1"/>
  <c r="AE33" i="16" a="1"/>
  <c r="X31" i="16" a="1"/>
  <c r="W32" i="16" a="1"/>
  <c r="W33" i="16" a="1"/>
  <c r="W31" i="16" a="1"/>
  <c r="Z25" i="16" a="1"/>
  <c r="AD25" i="16" a="1"/>
  <c r="Y26" i="16" a="1"/>
  <c r="AC26" i="16" a="1"/>
  <c r="AG26" i="16" a="1"/>
  <c r="AA25" i="16" a="1"/>
  <c r="AE25" i="16" a="1"/>
  <c r="AD26" i="16" a="1"/>
  <c r="AB25" i="16" a="1"/>
  <c r="AF25" i="16" a="1"/>
  <c r="AE26" i="16" a="1"/>
  <c r="Y25" i="16" a="1"/>
  <c r="AG25" i="16" a="1"/>
  <c r="AB26" i="16" a="1"/>
  <c r="Z26" i="16" a="1"/>
  <c r="AC25" i="16" a="1"/>
  <c r="AF26" i="16" a="1"/>
  <c r="AA26" i="16" a="1"/>
  <c r="X24" i="16" a="1"/>
  <c r="W25" i="16" a="1"/>
  <c r="W26" i="16" a="1"/>
  <c r="W24" i="16" a="1"/>
  <c r="AA16" i="16" a="1"/>
  <c r="AE16" i="16" a="1"/>
  <c r="Z17" i="16" a="1"/>
  <c r="AD17" i="16" a="1"/>
  <c r="Y18" i="16" a="1"/>
  <c r="AC18" i="16" a="1"/>
  <c r="AG18" i="16" a="1"/>
  <c r="AB19" i="16" a="1"/>
  <c r="AF19" i="16" a="1"/>
  <c r="AC16" i="16" a="1"/>
  <c r="AB17" i="16" a="1"/>
  <c r="AF17" i="16" a="1"/>
  <c r="AE18" i="16" a="1"/>
  <c r="AD19" i="16" a="1"/>
  <c r="AD16" i="16" a="1"/>
  <c r="Y17" i="16" a="1"/>
  <c r="AG17" i="16" a="1"/>
  <c r="AF18" i="16" a="1"/>
  <c r="AE19" i="16" a="1"/>
  <c r="AB16" i="16" a="1"/>
  <c r="AF16" i="16" a="1"/>
  <c r="AA17" i="16" a="1"/>
  <c r="AE17" i="16" a="1"/>
  <c r="Z18" i="16" a="1"/>
  <c r="AD18" i="16" a="1"/>
  <c r="Y19" i="16" a="1"/>
  <c r="AC19" i="16" a="1"/>
  <c r="AG19" i="16" a="1"/>
  <c r="Y16" i="16" a="1"/>
  <c r="AG16" i="16" a="1"/>
  <c r="AA18" i="16" a="1"/>
  <c r="Z19" i="16" a="1"/>
  <c r="Z16" i="16" a="1"/>
  <c r="AC17" i="16" a="1"/>
  <c r="AB18" i="16" a="1"/>
  <c r="AA19" i="16" a="1"/>
  <c r="X15" i="16" a="1"/>
  <c r="W16" i="16" a="1"/>
  <c r="W18" i="16" a="1"/>
  <c r="W17" i="16" a="1"/>
  <c r="W19" i="16" a="1"/>
  <c r="W15" i="16" a="1"/>
  <c r="Y6" i="16" a="1"/>
  <c r="AC6" i="16" a="1"/>
  <c r="AG6" i="16" a="1"/>
  <c r="AB7" i="16" a="1"/>
  <c r="AF7" i="16" a="1"/>
  <c r="AA8" i="16" a="1"/>
  <c r="AE8" i="16" a="1"/>
  <c r="Z9" i="16" a="1"/>
  <c r="AD9" i="16" a="1"/>
  <c r="Y10" i="16" a="1"/>
  <c r="AC10" i="16" a="1"/>
  <c r="AG10" i="16" a="1"/>
  <c r="AD8" i="16" a="1"/>
  <c r="AC7" i="16" a="1"/>
  <c r="Z10" i="16" a="1"/>
  <c r="Z8" i="16" a="1"/>
  <c r="Z6" i="16" a="1"/>
  <c r="AD6" i="16" a="1"/>
  <c r="Y7" i="16" a="1"/>
  <c r="AG7" i="16" a="1"/>
  <c r="AB8" i="16" a="1"/>
  <c r="AF8" i="16" a="1"/>
  <c r="AA9" i="16" a="1"/>
  <c r="AE9" i="16" a="1"/>
  <c r="AD10" i="16" a="1"/>
  <c r="Y9" i="16" a="1"/>
  <c r="AF10" i="16" a="1"/>
  <c r="Z7" i="16" a="1"/>
  <c r="AF9" i="16" a="1"/>
  <c r="AE7" i="16" a="1"/>
  <c r="AB10" i="16" a="1"/>
  <c r="AA6" i="16" a="1"/>
  <c r="AE6" i="16" a="1"/>
  <c r="AD7" i="16" a="1"/>
  <c r="Y8" i="16" a="1"/>
  <c r="AC8" i="16" a="1"/>
  <c r="AG8" i="16" a="1"/>
  <c r="AB9" i="16" a="1"/>
  <c r="AA10" i="16" a="1"/>
  <c r="AE10" i="16" a="1"/>
  <c r="AC9" i="16" a="1"/>
  <c r="AB6" i="16" a="1"/>
  <c r="AF6" i="16" a="1"/>
  <c r="AA7" i="16" a="1"/>
  <c r="AG9" i="16" a="1"/>
  <c r="X5" i="16" a="1"/>
  <c r="W6" i="16" a="1"/>
  <c r="W10" i="16" a="1"/>
  <c r="W7" i="16" a="1"/>
  <c r="W9" i="16" a="1"/>
  <c r="W8" i="16" a="1"/>
  <c r="W5" i="16" a="1"/>
  <c r="V6" i="14" a="1"/>
  <c r="V5" i="14" a="1"/>
  <c r="AF24" i="16" a="1"/>
  <c r="AB31" i="16" a="1"/>
  <c r="AF31" i="16" a="1"/>
  <c r="AB38" i="16" a="1"/>
  <c r="X39" i="16" a="1"/>
  <c r="AG24" i="16" a="1"/>
  <c r="AA31" i="16" a="1"/>
  <c r="X25" i="16" a="1"/>
  <c r="AC38" i="16" a="1"/>
  <c r="AG31" i="16" a="1"/>
  <c r="X33" i="16" a="1"/>
  <c r="AC31" i="16" a="1"/>
  <c r="AG38" i="16" a="1"/>
  <c r="AA38" i="16" a="1"/>
  <c r="AF38" i="16" a="1"/>
  <c r="Y31" i="16" a="1"/>
  <c r="Z31" i="16" a="1"/>
  <c r="AB24" i="16" a="1"/>
  <c r="AC24" i="16" a="1"/>
  <c r="X6" i="16" a="1"/>
  <c r="AE38" i="16" a="1"/>
  <c r="AE24" i="16" a="1"/>
  <c r="Y38" i="16" a="1"/>
  <c r="AE31" i="16" a="1"/>
  <c r="X40" i="16" a="1"/>
  <c r="AD24" i="16" a="1"/>
  <c r="X32" i="16" a="1"/>
  <c r="AD31" i="16" a="1"/>
  <c r="AA24" i="16" a="1"/>
  <c r="X26" i="16" a="1"/>
  <c r="AD38" i="16" a="1"/>
  <c r="Z24" i="16" a="1"/>
  <c r="Y24" i="16" a="1"/>
  <c r="Z38" i="16" a="1"/>
  <c r="L84" i="16" l="1"/>
  <c r="K84" i="16"/>
  <c r="F84" i="16"/>
  <c r="H84" i="16"/>
  <c r="G84" i="16"/>
  <c r="J84" i="16"/>
  <c r="M84" i="16"/>
  <c r="I84" i="16"/>
  <c r="E84" i="16"/>
  <c r="D84" i="16"/>
  <c r="G67" i="16"/>
  <c r="H67" i="16"/>
  <c r="K67" i="16"/>
  <c r="F67" i="16"/>
  <c r="J67" i="16"/>
  <c r="L67" i="16"/>
  <c r="M67" i="16"/>
  <c r="I67" i="16"/>
  <c r="E67" i="16"/>
  <c r="D67" i="16"/>
  <c r="J44" i="16"/>
  <c r="G44" i="16"/>
  <c r="F44" i="16"/>
  <c r="L44" i="16"/>
  <c r="H44" i="16"/>
  <c r="K44" i="16"/>
  <c r="M44" i="16"/>
  <c r="I44" i="16"/>
  <c r="E44" i="16"/>
  <c r="D44" i="16"/>
  <c r="N36" i="16"/>
  <c r="M36" i="16"/>
  <c r="I36" i="16"/>
  <c r="H36" i="16"/>
  <c r="J36" i="16"/>
  <c r="L36" i="16"/>
  <c r="O36" i="16"/>
  <c r="K36" i="16"/>
  <c r="G36" i="16"/>
  <c r="F36" i="16"/>
  <c r="E38" i="16"/>
  <c r="E37" i="16"/>
  <c r="D38" i="16"/>
  <c r="D37" i="16"/>
  <c r="D36" i="16"/>
  <c r="N18" i="16"/>
  <c r="I18" i="16"/>
  <c r="H18" i="16"/>
  <c r="J18" i="16"/>
  <c r="M18" i="16"/>
  <c r="L18" i="16"/>
  <c r="O18" i="16"/>
  <c r="K18" i="16"/>
  <c r="G18" i="16"/>
  <c r="F18" i="16"/>
  <c r="E27" i="16"/>
  <c r="E19" i="16"/>
  <c r="E30" i="16"/>
  <c r="E22" i="16"/>
  <c r="E29" i="16"/>
  <c r="E25" i="16"/>
  <c r="E23" i="16"/>
  <c r="E26" i="16"/>
  <c r="E28" i="16"/>
  <c r="E24" i="16"/>
  <c r="E20" i="16"/>
  <c r="E18" i="16"/>
  <c r="D26" i="16"/>
  <c r="D29" i="16"/>
  <c r="D21" i="16"/>
  <c r="D25" i="16"/>
  <c r="D20" i="16"/>
  <c r="D30" i="16"/>
  <c r="D22" i="16"/>
  <c r="D28" i="16"/>
  <c r="D24" i="16"/>
  <c r="D27" i="16"/>
  <c r="D23" i="16"/>
  <c r="D19" i="16"/>
  <c r="D18" i="16"/>
  <c r="H12" i="16"/>
  <c r="G12" i="16"/>
  <c r="K12" i="16"/>
  <c r="F12" i="16"/>
  <c r="J12" i="16"/>
  <c r="L12" i="16"/>
  <c r="M12" i="16"/>
  <c r="I12" i="16"/>
  <c r="E12" i="16"/>
  <c r="D12" i="16"/>
  <c r="J5" i="16"/>
  <c r="L5" i="16"/>
  <c r="G5" i="16"/>
  <c r="F5" i="16"/>
  <c r="H5" i="16"/>
  <c r="K5" i="16"/>
  <c r="M5" i="16"/>
  <c r="I5" i="16"/>
  <c r="E5" i="16"/>
  <c r="D5" i="16"/>
  <c r="AB39" i="16"/>
  <c r="AD39" i="16"/>
  <c r="AA40" i="16"/>
  <c r="Z40" i="16"/>
  <c r="AE39" i="16"/>
  <c r="AG40" i="16"/>
  <c r="AC40" i="16"/>
  <c r="Y40" i="16"/>
  <c r="Z39" i="16"/>
  <c r="AE40" i="16"/>
  <c r="AF39" i="16"/>
  <c r="AD40" i="16"/>
  <c r="AA39" i="16"/>
  <c r="AF40" i="16"/>
  <c r="AB40" i="16"/>
  <c r="AG39" i="16"/>
  <c r="AC39" i="16"/>
  <c r="Y39" i="16"/>
  <c r="X38" i="16"/>
  <c r="W40" i="16"/>
  <c r="W39" i="16"/>
  <c r="W38" i="16"/>
  <c r="AE33" i="16"/>
  <c r="AF33" i="16"/>
  <c r="AB33" i="16"/>
  <c r="AG32" i="16"/>
  <c r="AC32" i="16"/>
  <c r="Y32" i="16"/>
  <c r="AA33" i="16"/>
  <c r="AF32" i="16"/>
  <c r="AB32" i="16"/>
  <c r="AD33" i="16"/>
  <c r="Z33" i="16"/>
  <c r="AE32" i="16"/>
  <c r="AA32" i="16"/>
  <c r="AG33" i="16"/>
  <c r="AC33" i="16"/>
  <c r="Y33" i="16"/>
  <c r="AD32" i="16"/>
  <c r="Z32" i="16"/>
  <c r="X31" i="16"/>
  <c r="W33" i="16"/>
  <c r="W32" i="16"/>
  <c r="W31" i="16"/>
  <c r="AA26" i="16"/>
  <c r="AF26" i="16"/>
  <c r="AC25" i="16"/>
  <c r="Z26" i="16"/>
  <c r="AB26" i="16"/>
  <c r="AG25" i="16"/>
  <c r="Y25" i="16"/>
  <c r="AE26" i="16"/>
  <c r="AF25" i="16"/>
  <c r="AB25" i="16"/>
  <c r="AD26" i="16"/>
  <c r="AE25" i="16"/>
  <c r="AA25" i="16"/>
  <c r="AG26" i="16"/>
  <c r="AC26" i="16"/>
  <c r="Y26" i="16"/>
  <c r="AD25" i="16"/>
  <c r="Z25" i="16"/>
  <c r="X24" i="16"/>
  <c r="W26" i="16"/>
  <c r="W25" i="16"/>
  <c r="W24" i="16"/>
  <c r="AA19" i="16"/>
  <c r="AB18" i="16"/>
  <c r="AC17" i="16"/>
  <c r="Z16" i="16"/>
  <c r="Z19" i="16"/>
  <c r="AA18" i="16"/>
  <c r="AG16" i="16"/>
  <c r="Y16" i="16"/>
  <c r="AG19" i="16"/>
  <c r="AC19" i="16"/>
  <c r="Y19" i="16"/>
  <c r="AD18" i="16"/>
  <c r="Z18" i="16"/>
  <c r="AE17" i="16"/>
  <c r="AA17" i="16"/>
  <c r="AF16" i="16"/>
  <c r="AB16" i="16"/>
  <c r="AE19" i="16"/>
  <c r="AF18" i="16"/>
  <c r="AG17" i="16"/>
  <c r="Y17" i="16"/>
  <c r="AD16" i="16"/>
  <c r="AD19" i="16"/>
  <c r="AE18" i="16"/>
  <c r="AF17" i="16"/>
  <c r="AB17" i="16"/>
  <c r="AC16" i="16"/>
  <c r="AF19" i="16"/>
  <c r="AB19" i="16"/>
  <c r="AG18" i="16"/>
  <c r="AC18" i="16"/>
  <c r="Y18" i="16"/>
  <c r="AD17" i="16"/>
  <c r="Z17" i="16"/>
  <c r="AE16" i="16"/>
  <c r="AA16" i="16"/>
  <c r="X15" i="16"/>
  <c r="W19" i="16"/>
  <c r="W17" i="16"/>
  <c r="W18" i="16"/>
  <c r="W16" i="16"/>
  <c r="W15" i="16"/>
  <c r="AG9" i="16"/>
  <c r="AA7" i="16"/>
  <c r="AF6" i="16"/>
  <c r="AB6" i="16"/>
  <c r="AC9" i="16"/>
  <c r="AE10" i="16"/>
  <c r="AA10" i="16"/>
  <c r="AB9" i="16"/>
  <c r="AG8" i="16"/>
  <c r="AC8" i="16"/>
  <c r="Y8" i="16"/>
  <c r="AD7" i="16"/>
  <c r="AE6" i="16"/>
  <c r="AA6" i="16"/>
  <c r="AB10" i="16"/>
  <c r="AE7" i="16"/>
  <c r="AF9" i="16"/>
  <c r="Z7" i="16"/>
  <c r="AF10" i="16"/>
  <c r="Y9" i="16"/>
  <c r="AD10" i="16"/>
  <c r="AE9" i="16"/>
  <c r="AA9" i="16"/>
  <c r="AF8" i="16"/>
  <c r="AB8" i="16"/>
  <c r="AG7" i="16"/>
  <c r="Y7" i="16"/>
  <c r="AD6" i="16"/>
  <c r="Z6" i="16"/>
  <c r="Z8" i="16"/>
  <c r="Z10" i="16"/>
  <c r="AC7" i="16"/>
  <c r="AD8" i="16"/>
  <c r="AG10" i="16"/>
  <c r="AC10" i="16"/>
  <c r="Y10" i="16"/>
  <c r="AD9" i="16"/>
  <c r="Z9" i="16"/>
  <c r="AE8" i="16"/>
  <c r="AA8" i="16"/>
  <c r="AF7" i="16"/>
  <c r="AB7" i="16"/>
  <c r="AG6" i="16"/>
  <c r="AC6" i="16"/>
  <c r="Y6" i="16"/>
  <c r="X5" i="16"/>
  <c r="W8" i="16"/>
  <c r="W9" i="16"/>
  <c r="W7" i="16"/>
  <c r="W10" i="16"/>
  <c r="W6" i="16"/>
  <c r="W5" i="16"/>
  <c r="V5" i="14"/>
  <c r="V6" i="14"/>
  <c r="X6" i="16"/>
  <c r="X39" i="16"/>
  <c r="X40" i="16"/>
  <c r="AC38" i="16"/>
  <c r="AF38" i="16"/>
  <c r="AB38" i="16"/>
  <c r="AE38" i="16"/>
  <c r="Y38" i="16"/>
  <c r="AA38" i="16"/>
  <c r="AG38" i="16"/>
  <c r="AD38" i="16"/>
  <c r="Z38" i="16"/>
  <c r="X32" i="16"/>
  <c r="X33" i="16"/>
  <c r="AB31" i="16"/>
  <c r="AA31" i="16"/>
  <c r="AF31" i="16"/>
  <c r="AE31" i="16"/>
  <c r="AD31" i="16"/>
  <c r="Z31" i="16"/>
  <c r="AG31" i="16"/>
  <c r="AC31" i="16"/>
  <c r="Y31" i="16"/>
  <c r="X26" i="16"/>
  <c r="X25" i="16"/>
  <c r="AG24" i="16"/>
  <c r="AA24" i="16"/>
  <c r="AB24" i="16"/>
  <c r="AE24" i="16"/>
  <c r="Z24" i="16"/>
  <c r="AF24" i="16"/>
  <c r="AD24" i="16"/>
  <c r="AC24" i="16"/>
  <c r="Y24" i="16"/>
  <c r="Z9" i="19" l="1" a="1"/>
  <c r="Z9" i="19" s="1"/>
  <c r="Z10" i="19" a="1"/>
  <c r="Z10" i="19" s="1"/>
  <c r="Z14" i="19" a="1"/>
  <c r="Z14" i="19" s="1"/>
  <c r="Z15" i="19" a="1"/>
  <c r="Z15" i="19" s="1"/>
  <c r="Z16" i="19" a="1"/>
  <c r="Z16" i="19" s="1"/>
  <c r="Z17" i="19" a="1"/>
  <c r="Z17" i="19" s="1"/>
  <c r="Z20" i="19" a="1"/>
  <c r="Z20" i="19" s="1"/>
  <c r="Z21" i="19" a="1"/>
  <c r="Z21" i="19" s="1"/>
  <c r="Z24" i="19" a="1"/>
  <c r="Z24" i="19" s="1"/>
  <c r="Z25" i="19" a="1"/>
  <c r="Z25" i="19" s="1"/>
  <c r="Z26" i="19" a="1"/>
  <c r="Z26" i="19" s="1"/>
  <c r="Z29" i="19" a="1"/>
  <c r="Z29" i="19" s="1"/>
  <c r="Z30" i="19" a="1"/>
  <c r="Z30" i="19" s="1"/>
  <c r="Z31" i="19" a="1"/>
  <c r="Z31" i="19" s="1"/>
  <c r="Z32" i="19" a="1"/>
  <c r="Z32" i="19" s="1"/>
  <c r="Z33" i="19" a="1"/>
  <c r="Z33" i="19" s="1"/>
  <c r="W7" i="14"/>
  <c r="W10" i="14"/>
  <c r="W8" i="14"/>
  <c r="AA18" i="14" a="1"/>
  <c r="AA18" i="14" s="1"/>
  <c r="AA19" i="14" a="1"/>
  <c r="AA19" i="14" s="1"/>
  <c r="AA20" i="14" a="1"/>
  <c r="AA20" i="14" s="1"/>
  <c r="AA21" i="14" a="1"/>
  <c r="AA21" i="14" s="1"/>
  <c r="AA22" i="14" a="1"/>
  <c r="AA22" i="14" s="1"/>
  <c r="AA23" i="14" a="1"/>
  <c r="AA23" i="14" s="1"/>
  <c r="AA24" i="14" a="1"/>
  <c r="AA24" i="14" s="1"/>
  <c r="AA25" i="14" a="1"/>
  <c r="AA25" i="14" s="1"/>
  <c r="AA26" i="14" a="1"/>
  <c r="AA26" i="14" s="1"/>
  <c r="AA27" i="14" a="1"/>
  <c r="AA27" i="14" s="1"/>
  <c r="AA28" i="14" a="1"/>
  <c r="AA28" i="14" s="1"/>
  <c r="AA29" i="14" a="1"/>
  <c r="AA29" i="14" s="1"/>
  <c r="AA30" i="14" a="1"/>
  <c r="AA30" i="14" s="1"/>
  <c r="AA31" i="14" a="1"/>
  <c r="AA31" i="14" s="1"/>
  <c r="AA32" i="14" a="1"/>
  <c r="AA32" i="14" s="1"/>
  <c r="AA33" i="14" a="1"/>
  <c r="AA33" i="14" s="1"/>
  <c r="AA34" i="14" a="1"/>
  <c r="AA34" i="14" s="1"/>
  <c r="W26" i="14" a="1"/>
  <c r="W26" i="14" s="1"/>
  <c r="W27" i="14" a="1"/>
  <c r="W27" i="14" s="1"/>
  <c r="W28" i="14" a="1"/>
  <c r="W28" i="14" s="1"/>
  <c r="W29" i="14" a="1"/>
  <c r="W29" i="14" s="1"/>
  <c r="W30" i="14" a="1"/>
  <c r="W30" i="14" s="1"/>
  <c r="W31" i="14" a="1"/>
  <c r="W31" i="14" s="1"/>
  <c r="W32" i="14" a="1"/>
  <c r="W32" i="14" s="1"/>
  <c r="W33" i="14" a="1"/>
  <c r="W33" i="14" s="1"/>
  <c r="W34" i="14" a="1"/>
  <c r="W34" i="14" s="1"/>
  <c r="W25" i="14" a="1"/>
  <c r="W25" i="14" s="1"/>
  <c r="I9" i="19"/>
  <c r="S9" i="19"/>
  <c r="X8" i="19" a="1"/>
  <c r="X8" i="19" s="1"/>
  <c r="Z8" i="19" a="1"/>
  <c r="AB5" i="16" a="1"/>
  <c r="AE5" i="16" a="1"/>
  <c r="X16" i="16" a="1"/>
  <c r="X17" i="16" a="1"/>
  <c r="X18" i="16" a="1"/>
  <c r="AC15" i="16" a="1"/>
  <c r="AD5" i="16" a="1"/>
  <c r="AA5" i="16" a="1"/>
  <c r="X10" i="16" a="1"/>
  <c r="AF5" i="16" a="1"/>
  <c r="X9" i="16" a="1"/>
  <c r="AD15" i="16" a="1"/>
  <c r="AF15" i="16" a="1"/>
  <c r="AA15" i="16" a="1"/>
  <c r="AE15" i="16" a="1"/>
  <c r="AG15" i="16" a="1"/>
  <c r="AB15" i="16" a="1"/>
  <c r="X8" i="16" a="1"/>
  <c r="AG5" i="16" a="1"/>
  <c r="Y15" i="16" a="1"/>
  <c r="Y5" i="16" a="1"/>
  <c r="Z5" i="16" a="1"/>
  <c r="Z15" i="16" a="1"/>
  <c r="AC5" i="16" a="1"/>
  <c r="X7" i="16" a="1"/>
  <c r="X19" i="16" a="1"/>
  <c r="Z8" i="19" l="1"/>
  <c r="X18" i="16"/>
  <c r="X16" i="16"/>
  <c r="X19" i="16"/>
  <c r="X17" i="16"/>
  <c r="AC15" i="16"/>
  <c r="Y15" i="16"/>
  <c r="AF15" i="16"/>
  <c r="AB15" i="16"/>
  <c r="AA15" i="16"/>
  <c r="AG15" i="16"/>
  <c r="AE15" i="16"/>
  <c r="AD15" i="16"/>
  <c r="Z15" i="16"/>
  <c r="X9" i="16"/>
  <c r="X7" i="16"/>
  <c r="X10" i="16"/>
  <c r="X8" i="16"/>
  <c r="AC5" i="16"/>
  <c r="AF5" i="16"/>
  <c r="AB5" i="16"/>
  <c r="Y5" i="16"/>
  <c r="AA5" i="16"/>
  <c r="AE5" i="16"/>
  <c r="Z5" i="16"/>
  <c r="AG5" i="16"/>
  <c r="AD5" i="16"/>
  <c r="S7" i="19"/>
  <c r="S8" i="19"/>
  <c r="S10" i="19"/>
  <c r="S11" i="19"/>
  <c r="S6" i="19"/>
  <c r="I26" i="19"/>
  <c r="I27" i="19"/>
  <c r="I25" i="19"/>
  <c r="I21" i="19"/>
  <c r="I22" i="19"/>
  <c r="I20" i="19"/>
  <c r="I14" i="19"/>
  <c r="I15" i="19"/>
  <c r="I13" i="19"/>
  <c r="I7" i="19"/>
  <c r="I8" i="19"/>
  <c r="I10" i="19"/>
  <c r="I6" i="19"/>
  <c r="E14" i="21" a="1"/>
  <c r="E14" i="21" s="1"/>
  <c r="G10" i="21" a="1"/>
  <c r="G10" i="21" s="1"/>
  <c r="G8" i="21"/>
  <c r="I14" i="21" a="1"/>
  <c r="I14" i="21" s="1"/>
  <c r="G14" i="21" a="1"/>
  <c r="G14" i="21" s="1"/>
  <c r="V7" i="14" a="1"/>
  <c r="V10" i="14" a="1"/>
  <c r="V9" i="14" a="1"/>
  <c r="V8" i="14" a="1"/>
  <c r="AD20" i="16" l="1"/>
  <c r="AE20" i="16"/>
  <c r="AG20" i="16"/>
  <c r="AA20" i="16"/>
  <c r="AB20" i="16"/>
  <c r="AF20" i="16"/>
  <c r="X20" i="16"/>
  <c r="Y20" i="16"/>
  <c r="Z20" i="16"/>
  <c r="AC20" i="16"/>
  <c r="G9" i="21"/>
  <c r="V8" i="14"/>
  <c r="V7" i="14"/>
  <c r="V9" i="14"/>
  <c r="V10" i="14"/>
  <c r="H57" i="16" a="1"/>
  <c r="H58" i="16" a="1"/>
  <c r="I46" i="16" a="1"/>
  <c r="M30" i="16" a="1"/>
  <c r="L48" i="16" a="1"/>
  <c r="E53" i="16" a="1"/>
  <c r="H49" i="16" a="1"/>
  <c r="M60" i="16" a="1"/>
  <c r="H38" i="16" a="1"/>
  <c r="I56" i="16" a="1"/>
  <c r="J46" i="16" a="1"/>
  <c r="J30" i="16" a="1"/>
  <c r="D46" i="16" a="1"/>
  <c r="F48" i="16" a="1"/>
  <c r="J50" i="16" a="1"/>
  <c r="H55" i="16" a="1"/>
  <c r="G38" i="16" a="1"/>
  <c r="M50" i="16" a="1"/>
  <c r="F38" i="16" a="1"/>
  <c r="N38" i="16" a="1"/>
  <c r="K59" i="16" a="1"/>
  <c r="H29" i="16" a="1"/>
  <c r="M57" i="16" a="1"/>
  <c r="K47" i="16" a="1"/>
  <c r="I54" i="16" a="1"/>
  <c r="M51" i="16" a="1"/>
  <c r="M52" i="16" a="1"/>
  <c r="G48" i="16" a="1"/>
  <c r="M61" i="16" a="1"/>
  <c r="H54" i="16" a="1"/>
  <c r="L54" i="16" a="1"/>
  <c r="I61" i="16" a="1"/>
  <c r="I47" i="16" a="1"/>
  <c r="D52" i="16" a="1"/>
  <c r="F52" i="16" a="1"/>
  <c r="J58" i="16" a="1"/>
  <c r="K54" i="16" a="1"/>
  <c r="F49" i="16" a="1"/>
  <c r="F51" i="16" a="1"/>
  <c r="G47" i="16" a="1"/>
  <c r="H47" i="16" a="1"/>
  <c r="M47" i="16" a="1"/>
  <c r="J47" i="16" a="1"/>
  <c r="I38" i="16" a="1"/>
  <c r="K48" i="16" a="1"/>
  <c r="K60" i="16" a="1"/>
  <c r="E54" i="16" a="1"/>
  <c r="K53" i="16" a="1"/>
  <c r="H52" i="16" a="1"/>
  <c r="L55" i="16" a="1"/>
  <c r="M55" i="16" a="1"/>
  <c r="I58" i="16" a="1"/>
  <c r="N30" i="16" a="1"/>
  <c r="M56" i="16" a="1"/>
  <c r="L51" i="16" a="1"/>
  <c r="D55" i="16" a="1"/>
  <c r="I60" i="16" a="1"/>
  <c r="L61" i="16" a="1"/>
  <c r="L38" i="16" a="1"/>
  <c r="D58" i="16" a="1"/>
  <c r="D54" i="16" a="1"/>
  <c r="E50" i="16" a="1"/>
  <c r="D51" i="16" a="1"/>
  <c r="I49" i="16" a="1"/>
  <c r="M38" i="16" a="1"/>
  <c r="L57" i="16" a="1"/>
  <c r="K50" i="16" a="1"/>
  <c r="M59" i="16" a="1"/>
  <c r="E51" i="16" a="1"/>
  <c r="K29" i="16" a="1"/>
  <c r="G59" i="16" a="1"/>
  <c r="K38" i="16" a="1"/>
  <c r="O29" i="16" a="1"/>
  <c r="H51" i="16" a="1"/>
  <c r="N29" i="16" a="1"/>
  <c r="E57" i="16" a="1"/>
  <c r="O30" i="16" a="1"/>
  <c r="G60" i="16" a="1"/>
  <c r="H61" i="16" a="1"/>
  <c r="M46" i="16" a="1"/>
  <c r="J61" i="16" a="1"/>
  <c r="K56" i="16" a="1"/>
  <c r="I51" i="16" a="1"/>
  <c r="D47" i="16" a="1"/>
  <c r="L47" i="16" a="1"/>
  <c r="F61" i="16" a="1"/>
  <c r="F53" i="16" a="1"/>
  <c r="G61" i="16" a="1"/>
  <c r="L56" i="16" a="1"/>
  <c r="L30" i="16" a="1"/>
  <c r="L46" i="16" a="1"/>
  <c r="E49" i="16" a="1"/>
  <c r="K30" i="16" a="1"/>
  <c r="D56" i="16" a="1"/>
  <c r="J54" i="16" a="1"/>
  <c r="E47" i="16" a="1"/>
  <c r="H48" i="16" a="1"/>
  <c r="G51" i="16" a="1"/>
  <c r="E46" i="16" a="1"/>
  <c r="J59" i="16" a="1"/>
  <c r="M53" i="16" a="1"/>
  <c r="J55" i="16" a="1"/>
  <c r="K49" i="16" a="1"/>
  <c r="F57" i="16" a="1"/>
  <c r="J52" i="16" a="1"/>
  <c r="E59" i="16" a="1"/>
  <c r="I55" i="16" a="1"/>
  <c r="K61" i="16" a="1"/>
  <c r="L29" i="16" a="1"/>
  <c r="J53" i="16" a="1"/>
  <c r="J56" i="16" a="1"/>
  <c r="G50" i="16" a="1"/>
  <c r="F59" i="16" a="1"/>
  <c r="L60" i="16" a="1"/>
  <c r="J49" i="16" a="1"/>
  <c r="E52" i="16" a="1"/>
  <c r="D61" i="16" a="1"/>
  <c r="I57" i="16" a="1"/>
  <c r="G53" i="16" a="1"/>
  <c r="E58" i="16" a="1"/>
  <c r="H60" i="16" a="1"/>
  <c r="F47" i="16" a="1"/>
  <c r="J51" i="16" a="1"/>
  <c r="J57" i="16" a="1"/>
  <c r="D57" i="16" a="1"/>
  <c r="M54" i="16" a="1"/>
  <c r="H53" i="16" a="1"/>
  <c r="E55" i="16" a="1"/>
  <c r="O38" i="16" a="1"/>
  <c r="G49" i="16" a="1"/>
  <c r="M49" i="16" a="1"/>
  <c r="E48" i="16" a="1"/>
  <c r="I48" i="16" a="1"/>
  <c r="E60" i="16" a="1"/>
  <c r="J29" i="16" a="1"/>
  <c r="K57" i="16" a="1"/>
  <c r="K46" i="16" a="1"/>
  <c r="K52" i="16" a="1"/>
  <c r="G57" i="16" a="1"/>
  <c r="J60" i="16" a="1"/>
  <c r="G30" i="16" a="1"/>
  <c r="L50" i="16" a="1"/>
  <c r="M58" i="16" a="1"/>
  <c r="F50" i="16" a="1"/>
  <c r="K51" i="16" a="1"/>
  <c r="I50" i="16" a="1"/>
  <c r="F30" i="16" a="1"/>
  <c r="F60" i="16" a="1"/>
  <c r="L49" i="16" a="1"/>
  <c r="F55" i="16" a="1"/>
  <c r="D50" i="16" a="1"/>
  <c r="I53" i="16" a="1"/>
  <c r="G55" i="16" a="1"/>
  <c r="G29" i="16" a="1"/>
  <c r="H30" i="16" a="1"/>
  <c r="I29" i="16" a="1"/>
  <c r="L53" i="16" a="1"/>
  <c r="E61" i="16" a="1"/>
  <c r="K55" i="16" a="1"/>
  <c r="G56" i="16" a="1"/>
  <c r="L59" i="16" a="1"/>
  <c r="M29" i="16" a="1"/>
  <c r="J48" i="16" a="1"/>
  <c r="H50" i="16" a="1"/>
  <c r="F56" i="16" a="1"/>
  <c r="G52" i="16" a="1"/>
  <c r="D59" i="16" a="1"/>
  <c r="F58" i="16" a="1"/>
  <c r="G46" i="16" a="1"/>
  <c r="M48" i="16" a="1"/>
  <c r="J38" i="16" a="1"/>
  <c r="D53" i="16" a="1"/>
  <c r="G58" i="16" a="1"/>
  <c r="F29" i="16" a="1"/>
  <c r="H59" i="16" a="1"/>
  <c r="H46" i="16" a="1"/>
  <c r="F54" i="16" a="1"/>
  <c r="H56" i="16" a="1"/>
  <c r="F46" i="16" a="1"/>
  <c r="I52" i="16" a="1"/>
  <c r="G54" i="16" a="1"/>
  <c r="L52" i="16" a="1"/>
  <c r="D48" i="16" a="1"/>
  <c r="D49" i="16" a="1"/>
  <c r="K58" i="16" a="1"/>
  <c r="L58" i="16" a="1"/>
  <c r="I59" i="16" a="1"/>
  <c r="I30" i="16" a="1"/>
  <c r="D60" i="16" a="1"/>
  <c r="E56" i="16" a="1"/>
  <c r="E58" i="16" l="1"/>
  <c r="K51" i="16"/>
  <c r="N29" i="16"/>
  <c r="O38" i="16"/>
  <c r="J48" i="16"/>
  <c r="M61" i="16"/>
  <c r="J53" i="16"/>
  <c r="I55" i="16"/>
  <c r="J29" i="16"/>
  <c r="F49" i="16"/>
  <c r="E49" i="16"/>
  <c r="J50" i="16"/>
  <c r="F53" i="16"/>
  <c r="D57" i="16"/>
  <c r="M54" i="16"/>
  <c r="J54" i="16"/>
  <c r="K58" i="16"/>
  <c r="L29" i="16"/>
  <c r="F38" i="16"/>
  <c r="H60" i="16"/>
  <c r="G61" i="16"/>
  <c r="E48" i="16"/>
  <c r="J47" i="16"/>
  <c r="M51" i="16"/>
  <c r="H52" i="16"/>
  <c r="G59" i="16"/>
  <c r="E46" i="16"/>
  <c r="F50" i="16"/>
  <c r="G56" i="16"/>
  <c r="M49" i="16"/>
  <c r="F30" i="16"/>
  <c r="I30" i="16"/>
  <c r="K38" i="16"/>
  <c r="H56" i="16"/>
  <c r="H54" i="16"/>
  <c r="J58" i="16"/>
  <c r="K55" i="16"/>
  <c r="G49" i="16"/>
  <c r="F56" i="16"/>
  <c r="L48" i="16"/>
  <c r="I59" i="16"/>
  <c r="E53" i="16"/>
  <c r="K46" i="16"/>
  <c r="H29" i="16"/>
  <c r="N30" i="16"/>
  <c r="K29" i="16"/>
  <c r="L54" i="16"/>
  <c r="L52" i="16"/>
  <c r="L57" i="16"/>
  <c r="G55" i="16"/>
  <c r="M48" i="16"/>
  <c r="H55" i="16"/>
  <c r="H48" i="16"/>
  <c r="E59" i="16"/>
  <c r="K52" i="16"/>
  <c r="G46" i="16"/>
  <c r="J30" i="16"/>
  <c r="N38" i="16"/>
  <c r="F51" i="16"/>
  <c r="K61" i="16"/>
  <c r="I48" i="16"/>
  <c r="D48" i="16"/>
  <c r="G52" i="16"/>
  <c r="J51" i="16"/>
  <c r="J56" i="16"/>
  <c r="I54" i="16"/>
  <c r="L53" i="16"/>
  <c r="G58" i="16"/>
  <c r="J49" i="16"/>
  <c r="J52" i="16"/>
  <c r="I52" i="16"/>
  <c r="H30" i="16"/>
  <c r="G30" i="16"/>
  <c r="L30" i="16"/>
  <c r="I38" i="16"/>
  <c r="H58" i="16"/>
  <c r="L50" i="16"/>
  <c r="L51" i="16"/>
  <c r="M58" i="16"/>
  <c r="E52" i="16"/>
  <c r="H49" i="16"/>
  <c r="M55" i="16"/>
  <c r="I49" i="16"/>
  <c r="F29" i="16"/>
  <c r="F55" i="16"/>
  <c r="F61" i="16"/>
  <c r="L61" i="16"/>
  <c r="L49" i="16"/>
  <c r="K57" i="16"/>
  <c r="G51" i="16"/>
  <c r="H61" i="16"/>
  <c r="L47" i="16"/>
  <c r="I61" i="16"/>
  <c r="E55" i="16"/>
  <c r="K48" i="16"/>
  <c r="J61" i="16"/>
  <c r="L60" i="16"/>
  <c r="L58" i="16"/>
  <c r="L55" i="16"/>
  <c r="D49" i="16"/>
  <c r="M60" i="16"/>
  <c r="G57" i="16"/>
  <c r="E54" i="16"/>
  <c r="M50" i="16"/>
  <c r="K47" i="16"/>
  <c r="F60" i="16"/>
  <c r="D53" i="16"/>
  <c r="D47" i="16"/>
  <c r="F47" i="16"/>
  <c r="E61" i="16"/>
  <c r="M57" i="16"/>
  <c r="K54" i="16"/>
  <c r="I51" i="16"/>
  <c r="G48" i="16"/>
  <c r="M29" i="16"/>
  <c r="M30" i="16"/>
  <c r="I29" i="16"/>
  <c r="M38" i="16"/>
  <c r="L56" i="16"/>
  <c r="D58" i="16"/>
  <c r="F59" i="16"/>
  <c r="F57" i="16"/>
  <c r="J60" i="16"/>
  <c r="D55" i="16"/>
  <c r="F48" i="16"/>
  <c r="I60" i="16"/>
  <c r="M56" i="16"/>
  <c r="K53" i="16"/>
  <c r="I50" i="16"/>
  <c r="G47" i="16"/>
  <c r="H59" i="16"/>
  <c r="F52" i="16"/>
  <c r="F46" i="16"/>
  <c r="L46" i="16"/>
  <c r="K60" i="16"/>
  <c r="I57" i="16"/>
  <c r="G54" i="16"/>
  <c r="E51" i="16"/>
  <c r="M47" i="16"/>
  <c r="O30" i="16"/>
  <c r="J38" i="16"/>
  <c r="D50" i="16"/>
  <c r="D61" i="16"/>
  <c r="O29" i="16"/>
  <c r="L38" i="16"/>
  <c r="D52" i="16"/>
  <c r="D60" i="16"/>
  <c r="J57" i="16"/>
  <c r="J55" i="16"/>
  <c r="L59" i="16"/>
  <c r="F54" i="16"/>
  <c r="H47" i="16"/>
  <c r="E60" i="16"/>
  <c r="I56" i="16"/>
  <c r="G53" i="16"/>
  <c r="E50" i="16"/>
  <c r="M46" i="16"/>
  <c r="F58" i="16"/>
  <c r="H51" i="16"/>
  <c r="H46" i="16"/>
  <c r="G60" i="16"/>
  <c r="E57" i="16"/>
  <c r="M53" i="16"/>
  <c r="K50" i="16"/>
  <c r="I47" i="16"/>
  <c r="K30" i="16"/>
  <c r="G29" i="16"/>
  <c r="G38" i="16"/>
  <c r="H38" i="16"/>
  <c r="J59" i="16"/>
  <c r="H50" i="16"/>
  <c r="D56" i="16"/>
  <c r="D54" i="16"/>
  <c r="D59" i="16"/>
  <c r="H53" i="16"/>
  <c r="J46" i="16"/>
  <c r="K59" i="16"/>
  <c r="E56" i="16"/>
  <c r="M52" i="16"/>
  <c r="K49" i="16"/>
  <c r="I46" i="16"/>
  <c r="H57" i="16"/>
  <c r="D51" i="16"/>
  <c r="I58" i="16"/>
  <c r="D46" i="16"/>
  <c r="M59" i="16"/>
  <c r="K56" i="16"/>
  <c r="I53" i="16"/>
  <c r="G50" i="16"/>
  <c r="E47" i="16"/>
  <c r="T17" i="14" a="1"/>
  <c r="W12" i="14" a="1"/>
  <c r="W12" i="14" s="1"/>
  <c r="X28" i="19" a="1"/>
  <c r="X23" i="19" a="1"/>
  <c r="X19" i="19" a="1"/>
  <c r="X12" i="19" a="1"/>
  <c r="Y17" i="14" a="1"/>
  <c r="Y17" i="14" s="1"/>
  <c r="X17" i="14" a="1"/>
  <c r="X17" i="14" s="1"/>
  <c r="W14" i="14" a="1"/>
  <c r="W14" i="14" s="1"/>
  <c r="G11" i="21" s="1"/>
  <c r="G7" i="21"/>
  <c r="W24" i="14" a="1"/>
  <c r="W23" i="14" a="1"/>
  <c r="Z13" i="19" a="1"/>
  <c r="W18" i="14" a="1"/>
  <c r="G77" i="16" a="1"/>
  <c r="I75" i="16" a="1"/>
  <c r="D75" i="16" a="1"/>
  <c r="L73" i="16" a="1"/>
  <c r="D74" i="16" a="1"/>
  <c r="D77" i="16" a="1"/>
  <c r="M73" i="16" a="1"/>
  <c r="H77" i="16" a="1"/>
  <c r="L78" i="16" a="1"/>
  <c r="H78" i="16" a="1"/>
  <c r="F73" i="16" a="1"/>
  <c r="E78" i="16" a="1"/>
  <c r="H75" i="16" a="1"/>
  <c r="L74" i="16" a="1"/>
  <c r="F78" i="16" a="1"/>
  <c r="D73" i="16" a="1"/>
  <c r="G78" i="16" a="1"/>
  <c r="K78" i="16" a="1"/>
  <c r="F75" i="16" a="1"/>
  <c r="K74" i="16" a="1"/>
  <c r="I73" i="16" a="1"/>
  <c r="J76" i="16" a="1"/>
  <c r="M78" i="16" a="1"/>
  <c r="J78" i="16" a="1"/>
  <c r="G75" i="16" a="1"/>
  <c r="M75" i="16" a="1"/>
  <c r="E76" i="16" a="1"/>
  <c r="L75" i="16" a="1"/>
  <c r="I74" i="16" a="1"/>
  <c r="K73" i="16" a="1"/>
  <c r="H74" i="16" a="1"/>
  <c r="K77" i="16" a="1"/>
  <c r="J75" i="16" a="1"/>
  <c r="H73" i="16" a="1"/>
  <c r="G73" i="16" a="1"/>
  <c r="D76" i="16" a="1"/>
  <c r="F76" i="16" a="1"/>
  <c r="E77" i="16" a="1"/>
  <c r="J73" i="16" a="1"/>
  <c r="I76" i="16" a="1"/>
  <c r="D78" i="16" a="1"/>
  <c r="G76" i="16" a="1"/>
  <c r="G74" i="16" a="1"/>
  <c r="J74" i="16" a="1"/>
  <c r="I78" i="16" a="1"/>
  <c r="K76" i="16" a="1"/>
  <c r="M77" i="16" a="1"/>
  <c r="M74" i="16" a="1"/>
  <c r="K75" i="16" a="1"/>
  <c r="F74" i="16" a="1"/>
  <c r="L76" i="16" a="1"/>
  <c r="J77" i="16" a="1"/>
  <c r="L77" i="16" a="1"/>
  <c r="M76" i="16" a="1"/>
  <c r="H76" i="16" a="1"/>
  <c r="E73" i="16" a="1"/>
  <c r="I77" i="16" a="1"/>
  <c r="E74" i="16" a="1"/>
  <c r="F77" i="16" a="1"/>
  <c r="E75" i="16" a="1"/>
  <c r="Z13" i="19" l="1"/>
  <c r="L78" i="16"/>
  <c r="H77" i="16"/>
  <c r="J73" i="16"/>
  <c r="K74" i="16"/>
  <c r="E77" i="16"/>
  <c r="J76" i="16"/>
  <c r="I74" i="16"/>
  <c r="I78" i="16"/>
  <c r="I76" i="16"/>
  <c r="L74" i="16"/>
  <c r="M77" i="16"/>
  <c r="E76" i="16"/>
  <c r="E73" i="16"/>
  <c r="H74" i="16"/>
  <c r="G77" i="16"/>
  <c r="G73" i="16"/>
  <c r="K78" i="16"/>
  <c r="G76" i="16"/>
  <c r="G75" i="16"/>
  <c r="G78" i="16"/>
  <c r="H78" i="16"/>
  <c r="L73" i="16"/>
  <c r="F73" i="16"/>
  <c r="F76" i="16"/>
  <c r="F75" i="16"/>
  <c r="H76" i="16"/>
  <c r="L77" i="16"/>
  <c r="M78" i="16"/>
  <c r="I77" i="16"/>
  <c r="M73" i="16"/>
  <c r="J74" i="16"/>
  <c r="K77" i="16"/>
  <c r="H75" i="16"/>
  <c r="M76" i="16"/>
  <c r="E74" i="16"/>
  <c r="I75" i="16"/>
  <c r="K76" i="16"/>
  <c r="E75" i="16"/>
  <c r="I73" i="16"/>
  <c r="D75" i="16"/>
  <c r="D76" i="16"/>
  <c r="G74" i="16"/>
  <c r="D77" i="16"/>
  <c r="L75" i="16"/>
  <c r="K73" i="16"/>
  <c r="F78" i="16"/>
  <c r="D78" i="16"/>
  <c r="M74" i="16"/>
  <c r="H73" i="16"/>
  <c r="L76" i="16"/>
  <c r="D74" i="16"/>
  <c r="E78" i="16"/>
  <c r="F77" i="16"/>
  <c r="D73" i="16"/>
  <c r="J78" i="16"/>
  <c r="M75" i="16"/>
  <c r="J77" i="16"/>
  <c r="F74" i="16"/>
  <c r="J75" i="16"/>
  <c r="K75" i="16"/>
  <c r="W18" i="14"/>
  <c r="W23" i="14"/>
  <c r="W24" i="14"/>
  <c r="T17" i="14"/>
  <c r="X28" i="19"/>
  <c r="X23" i="19"/>
  <c r="Z23" i="19" s="1" a="1"/>
  <c r="X12" i="19"/>
  <c r="X19" i="19"/>
  <c r="AB11" i="16"/>
  <c r="Z11" i="16"/>
  <c r="Z19" i="19" a="1"/>
  <c r="Z28" i="19" a="1"/>
  <c r="Z12" i="19" a="1"/>
  <c r="W17" i="14" a="1"/>
  <c r="Z19" i="19" l="1"/>
  <c r="Z12" i="19"/>
  <c r="Z23" i="19"/>
  <c r="Z28" i="19"/>
  <c r="W27" i="16"/>
  <c r="AC27" i="16"/>
  <c r="AE27" i="16"/>
  <c r="Z27" i="16"/>
  <c r="AF27" i="16"/>
  <c r="Y27" i="16"/>
  <c r="AB27" i="16"/>
  <c r="AD27" i="16"/>
  <c r="AG27" i="16"/>
  <c r="X27" i="16"/>
  <c r="AA27" i="16"/>
  <c r="W41" i="16"/>
  <c r="AF41" i="16"/>
  <c r="AC41" i="16"/>
  <c r="Z41" i="16"/>
  <c r="AB41" i="16"/>
  <c r="Y41" i="16"/>
  <c r="AE41" i="16"/>
  <c r="AA41" i="16"/>
  <c r="AD41" i="16"/>
  <c r="AG41" i="16"/>
  <c r="X41" i="16"/>
  <c r="W34" i="16"/>
  <c r="AD34" i="16"/>
  <c r="X34" i="16"/>
  <c r="AB34" i="16"/>
  <c r="Z34" i="16"/>
  <c r="AF34" i="16"/>
  <c r="W17" i="14"/>
  <c r="E36" i="21" a="1"/>
  <c r="E36" i="21" s="1"/>
  <c r="D31" i="16"/>
  <c r="X11" i="16"/>
  <c r="W11" i="16"/>
  <c r="W20" i="16"/>
  <c r="AD11" i="16"/>
  <c r="AF11" i="16"/>
  <c r="S19" i="16" l="1"/>
  <c r="S18" i="16"/>
  <c r="S23" i="16"/>
  <c r="S21" i="16"/>
  <c r="Y34" i="16"/>
  <c r="AA34" i="16"/>
  <c r="Y11" i="16"/>
  <c r="D39" i="16"/>
  <c r="I36" i="21" l="1" a="1"/>
  <c r="I36" i="21" s="1"/>
  <c r="S20" i="16"/>
  <c r="S27" i="16"/>
  <c r="S25" i="16"/>
  <c r="AC34" i="16"/>
  <c r="AA11" i="16"/>
  <c r="S22" i="16" s="1"/>
  <c r="C23" i="13"/>
  <c r="C22" i="13"/>
  <c r="C21" i="13"/>
  <c r="C7" i="13"/>
  <c r="C8" i="13"/>
  <c r="C9" i="13"/>
  <c r="C10" i="13"/>
  <c r="C11" i="13"/>
  <c r="C12" i="13"/>
  <c r="C13" i="13"/>
  <c r="C14" i="13"/>
  <c r="C15" i="13"/>
  <c r="C16" i="13"/>
  <c r="C17" i="13"/>
  <c r="C18" i="13"/>
  <c r="C6" i="13"/>
  <c r="AG34" i="16" l="1"/>
  <c r="AE34" i="16"/>
  <c r="AC11" i="16"/>
  <c r="S24" i="16" s="1"/>
  <c r="H29" i="14"/>
  <c r="H27" i="14"/>
  <c r="H13" i="14"/>
  <c r="H11" i="14"/>
  <c r="H12" i="14"/>
  <c r="H14" i="14"/>
  <c r="H17" i="14"/>
  <c r="H18" i="14"/>
  <c r="H19" i="14"/>
  <c r="H20" i="14"/>
  <c r="H21" i="14"/>
  <c r="H22" i="14"/>
  <c r="H23" i="14"/>
  <c r="W22" i="14" a="1"/>
  <c r="E21" i="16" a="1"/>
  <c r="E36" i="16" a="1"/>
  <c r="W21" i="14" a="1"/>
  <c r="AA17" i="14" a="1"/>
  <c r="W20" i="14" a="1"/>
  <c r="W19" i="14" a="1"/>
  <c r="I70" i="16" a="1"/>
  <c r="N22" i="16" a="1"/>
  <c r="M85" i="16" a="1"/>
  <c r="M25" i="16" a="1"/>
  <c r="H27" i="16" a="1"/>
  <c r="F85" i="16" a="1"/>
  <c r="G45" i="16" a="1"/>
  <c r="H25" i="16" a="1"/>
  <c r="I72" i="16" a="1"/>
  <c r="L19" i="16" a="1"/>
  <c r="D85" i="16" a="1"/>
  <c r="L28" i="16" a="1"/>
  <c r="G69" i="16" a="1"/>
  <c r="G71" i="16" a="1"/>
  <c r="K23" i="16" a="1"/>
  <c r="G25" i="16" a="1"/>
  <c r="G72" i="16" a="1"/>
  <c r="K27" i="16" a="1"/>
  <c r="D69" i="16" a="1"/>
  <c r="G21" i="16" a="1"/>
  <c r="O19" i="16" a="1"/>
  <c r="H45" i="16" a="1"/>
  <c r="K19" i="16" a="1"/>
  <c r="L45" i="16" a="1"/>
  <c r="H28" i="16" a="1"/>
  <c r="F69" i="16" a="1"/>
  <c r="J26" i="16" a="1"/>
  <c r="I68" i="16" a="1"/>
  <c r="H24" i="16" a="1"/>
  <c r="N21" i="16" a="1"/>
  <c r="L68" i="16" a="1"/>
  <c r="L70" i="16" a="1"/>
  <c r="E45" i="16" a="1"/>
  <c r="K72" i="16" a="1"/>
  <c r="F21" i="16" a="1"/>
  <c r="G22" i="16" a="1"/>
  <c r="M22" i="16" a="1"/>
  <c r="N20" i="16" a="1"/>
  <c r="M27" i="16" a="1"/>
  <c r="F25" i="16" a="1"/>
  <c r="E71" i="16" a="1"/>
  <c r="K24" i="16" a="1"/>
  <c r="L20" i="16" a="1"/>
  <c r="G85" i="16" a="1"/>
  <c r="G37" i="16" a="1"/>
  <c r="M71" i="16" a="1"/>
  <c r="I20" i="16" a="1"/>
  <c r="G70" i="16" a="1"/>
  <c r="J71" i="16" a="1"/>
  <c r="K37" i="16" a="1"/>
  <c r="O21" i="16" a="1"/>
  <c r="G24" i="16" a="1"/>
  <c r="F27" i="16" a="1"/>
  <c r="M70" i="16" a="1"/>
  <c r="F45" i="16" a="1"/>
  <c r="J45" i="16" a="1"/>
  <c r="F37" i="16" a="1"/>
  <c r="I19" i="16" a="1"/>
  <c r="F26" i="16" a="1"/>
  <c r="M45" i="16" a="1"/>
  <c r="J27" i="16" a="1"/>
  <c r="F23" i="16" a="1"/>
  <c r="E68" i="16" a="1"/>
  <c r="M69" i="16" a="1"/>
  <c r="I27" i="16" a="1"/>
  <c r="L72" i="16" a="1"/>
  <c r="J68" i="16" a="1"/>
  <c r="L24" i="16" a="1"/>
  <c r="K28" i="16" a="1"/>
  <c r="H20" i="16" a="1"/>
  <c r="M24" i="16" a="1"/>
  <c r="K68" i="16" a="1"/>
  <c r="L37" i="16" a="1"/>
  <c r="M21" i="16" a="1"/>
  <c r="H72" i="16" a="1"/>
  <c r="I24" i="16" a="1"/>
  <c r="F20" i="16" a="1"/>
  <c r="K69" i="16" a="1"/>
  <c r="L21" i="16" a="1"/>
  <c r="I22" i="16" a="1"/>
  <c r="H68" i="16" a="1"/>
  <c r="F24" i="16" a="1"/>
  <c r="K45" i="16" a="1"/>
  <c r="L23" i="16" a="1"/>
  <c r="I45" i="16" a="1"/>
  <c r="N25" i="16" a="1"/>
  <c r="M20" i="16" a="1"/>
  <c r="M68" i="16" a="1"/>
  <c r="F70" i="16" a="1"/>
  <c r="H85" i="16" a="1"/>
  <c r="K71" i="16" a="1"/>
  <c r="I85" i="16" a="1"/>
  <c r="K21" i="16" a="1"/>
  <c r="M19" i="16" a="1"/>
  <c r="H23" i="16" a="1"/>
  <c r="H69" i="16" a="1"/>
  <c r="O27" i="16" a="1"/>
  <c r="O23" i="16" a="1"/>
  <c r="G28" i="16" a="1"/>
  <c r="N28" i="16" a="1"/>
  <c r="M37" i="16" a="1"/>
  <c r="J28" i="16" a="1"/>
  <c r="H26" i="16" a="1"/>
  <c r="D71" i="16" a="1"/>
  <c r="L22" i="16" a="1"/>
  <c r="E69" i="16" a="1"/>
  <c r="H19" i="16" a="1"/>
  <c r="N37" i="16" a="1"/>
  <c r="L85" i="16" a="1"/>
  <c r="L27" i="16" a="1"/>
  <c r="J85" i="16" a="1"/>
  <c r="J22" i="16" a="1"/>
  <c r="F28" i="16" a="1"/>
  <c r="M72" i="16" a="1"/>
  <c r="O22" i="16" a="1"/>
  <c r="I23" i="16" a="1"/>
  <c r="H22" i="16" a="1"/>
  <c r="E72" i="16" a="1"/>
  <c r="K25" i="16" a="1"/>
  <c r="H71" i="16" a="1"/>
  <c r="F19" i="16" a="1"/>
  <c r="G68" i="16" a="1"/>
  <c r="E70" i="16" a="1"/>
  <c r="J24" i="16" a="1"/>
  <c r="I37" i="16" a="1"/>
  <c r="I26" i="16" a="1"/>
  <c r="G26" i="16" a="1"/>
  <c r="L26" i="16" a="1"/>
  <c r="K22" i="16" a="1"/>
  <c r="O37" i="16" a="1"/>
  <c r="L25" i="16" a="1"/>
  <c r="D45" i="16" a="1"/>
  <c r="F22" i="16" a="1"/>
  <c r="J25" i="16" a="1"/>
  <c r="O24" i="16" a="1"/>
  <c r="H70" i="16" a="1"/>
  <c r="I25" i="16" a="1"/>
  <c r="K26" i="16" a="1"/>
  <c r="M26" i="16" a="1"/>
  <c r="J69" i="16" a="1"/>
  <c r="E85" i="16" a="1"/>
  <c r="J72" i="16" a="1"/>
  <c r="M23" i="16" a="1"/>
  <c r="F68" i="16" a="1"/>
  <c r="G23" i="16" a="1"/>
  <c r="J37" i="16" a="1"/>
  <c r="O25" i="16" a="1"/>
  <c r="N19" i="16" a="1"/>
  <c r="K70" i="16" a="1"/>
  <c r="F71" i="16" a="1"/>
  <c r="L71" i="16" a="1"/>
  <c r="I21" i="16" a="1"/>
  <c r="D70" i="16" a="1"/>
  <c r="K85" i="16" a="1"/>
  <c r="M28" i="16" a="1"/>
  <c r="F72" i="16" a="1"/>
  <c r="I28" i="16" a="1"/>
  <c r="I69" i="16" a="1"/>
  <c r="J70" i="16" a="1"/>
  <c r="J19" i="16" a="1"/>
  <c r="J21" i="16" a="1"/>
  <c r="I71" i="16" a="1"/>
  <c r="D72" i="16" a="1"/>
  <c r="J20" i="16" a="1"/>
  <c r="L69" i="16" a="1"/>
  <c r="D68" i="16" a="1"/>
  <c r="N24" i="16" a="1"/>
  <c r="N27" i="16" a="1"/>
  <c r="O20" i="16" a="1"/>
  <c r="N23" i="16" a="1"/>
  <c r="H21" i="16" a="1"/>
  <c r="G20" i="16" a="1"/>
  <c r="H37" i="16" a="1"/>
  <c r="G27" i="16" a="1"/>
  <c r="G19" i="16" a="1"/>
  <c r="O26" i="16" a="1"/>
  <c r="O28" i="16" a="1"/>
  <c r="J23" i="16" a="1"/>
  <c r="N26" i="16" a="1"/>
  <c r="K20" i="16" a="1"/>
  <c r="E36" i="16" l="1"/>
  <c r="E21" i="16"/>
  <c r="E39" i="16"/>
  <c r="W19" i="14"/>
  <c r="W21" i="14"/>
  <c r="W20" i="14"/>
  <c r="W22" i="14"/>
  <c r="J37" i="16"/>
  <c r="H37" i="16"/>
  <c r="M37" i="16"/>
  <c r="F37" i="16"/>
  <c r="I37" i="16"/>
  <c r="L37" i="16"/>
  <c r="N37" i="16"/>
  <c r="K37" i="16"/>
  <c r="O37" i="16"/>
  <c r="G37" i="16"/>
  <c r="H26" i="16"/>
  <c r="L26" i="16"/>
  <c r="O26" i="16"/>
  <c r="F28" i="16"/>
  <c r="H24" i="16"/>
  <c r="N25" i="16"/>
  <c r="L27" i="16"/>
  <c r="I28" i="16"/>
  <c r="H25" i="16"/>
  <c r="G28" i="16"/>
  <c r="G24" i="16"/>
  <c r="J24" i="16"/>
  <c r="M25" i="16"/>
  <c r="G25" i="16"/>
  <c r="K26" i="16"/>
  <c r="M26" i="16"/>
  <c r="J25" i="16"/>
  <c r="K27" i="16"/>
  <c r="L24" i="16"/>
  <c r="F24" i="16"/>
  <c r="K28" i="16"/>
  <c r="K24" i="16"/>
  <c r="H27" i="16"/>
  <c r="M24" i="16"/>
  <c r="N26" i="16"/>
  <c r="H28" i="16"/>
  <c r="J27" i="16"/>
  <c r="L28" i="16"/>
  <c r="O27" i="16"/>
  <c r="G26" i="16"/>
  <c r="G27" i="16"/>
  <c r="M27" i="16"/>
  <c r="I27" i="16"/>
  <c r="K25" i="16"/>
  <c r="M28" i="16"/>
  <c r="N27" i="16"/>
  <c r="L25" i="16"/>
  <c r="F26" i="16"/>
  <c r="J26" i="16"/>
  <c r="I26" i="16"/>
  <c r="O28" i="16"/>
  <c r="O24" i="16"/>
  <c r="I24" i="16"/>
  <c r="F25" i="16"/>
  <c r="I25" i="16"/>
  <c r="F27" i="16"/>
  <c r="N28" i="16"/>
  <c r="O25" i="16"/>
  <c r="N24" i="16"/>
  <c r="J28" i="16"/>
  <c r="F69" i="16"/>
  <c r="E72" i="16"/>
  <c r="J72" i="16"/>
  <c r="E71" i="16"/>
  <c r="M71" i="16"/>
  <c r="E70" i="16"/>
  <c r="M69" i="16"/>
  <c r="G71" i="16"/>
  <c r="F70" i="16"/>
  <c r="H72" i="16"/>
  <c r="G69" i="16"/>
  <c r="J71" i="16"/>
  <c r="I69" i="16"/>
  <c r="M72" i="16"/>
  <c r="G72" i="16"/>
  <c r="H71" i="16"/>
  <c r="D71" i="16"/>
  <c r="L70" i="16"/>
  <c r="G70" i="16"/>
  <c r="L72" i="16"/>
  <c r="E69" i="16"/>
  <c r="K72" i="16"/>
  <c r="D69" i="16"/>
  <c r="J69" i="16"/>
  <c r="I70" i="16"/>
  <c r="L69" i="16"/>
  <c r="D70" i="16"/>
  <c r="F71" i="16"/>
  <c r="H70" i="16"/>
  <c r="I72" i="16"/>
  <c r="I71" i="16"/>
  <c r="H69" i="16"/>
  <c r="J70" i="16"/>
  <c r="K69" i="16"/>
  <c r="L71" i="16"/>
  <c r="K70" i="16"/>
  <c r="D72" i="16"/>
  <c r="F72" i="16"/>
  <c r="M70" i="16"/>
  <c r="K71" i="16"/>
  <c r="K45" i="16"/>
  <c r="H45" i="16"/>
  <c r="D45" i="16"/>
  <c r="G45" i="16"/>
  <c r="L45" i="16"/>
  <c r="F45" i="16"/>
  <c r="M45" i="16"/>
  <c r="I45" i="16"/>
  <c r="J45" i="16"/>
  <c r="E45" i="16"/>
  <c r="F23" i="16"/>
  <c r="H23" i="16"/>
  <c r="J23" i="16"/>
  <c r="N23" i="16"/>
  <c r="G23" i="16"/>
  <c r="L23" i="16"/>
  <c r="O23" i="16"/>
  <c r="I23" i="16"/>
  <c r="M23" i="16"/>
  <c r="K23" i="16"/>
  <c r="M20" i="16"/>
  <c r="H20" i="16"/>
  <c r="K20" i="16"/>
  <c r="N20" i="16"/>
  <c r="F20" i="16"/>
  <c r="O20" i="16"/>
  <c r="I20" i="16"/>
  <c r="L20" i="16"/>
  <c r="J20" i="16"/>
  <c r="G20" i="16"/>
  <c r="F19" i="16"/>
  <c r="G85" i="16"/>
  <c r="J85" i="16"/>
  <c r="F85" i="16"/>
  <c r="K85" i="16"/>
  <c r="E85" i="16"/>
  <c r="M85" i="16"/>
  <c r="I85" i="16"/>
  <c r="L85" i="16"/>
  <c r="H85" i="16"/>
  <c r="D85" i="16"/>
  <c r="K68" i="16"/>
  <c r="G68" i="16"/>
  <c r="J68" i="16"/>
  <c r="F68" i="16"/>
  <c r="M68" i="16"/>
  <c r="E68" i="16"/>
  <c r="I68" i="16"/>
  <c r="L68" i="16"/>
  <c r="H68" i="16"/>
  <c r="D68" i="16"/>
  <c r="M21" i="16"/>
  <c r="I19" i="16"/>
  <c r="N22" i="16"/>
  <c r="F22" i="16"/>
  <c r="L21" i="16"/>
  <c r="H21" i="16"/>
  <c r="L19" i="16"/>
  <c r="H19" i="16"/>
  <c r="J22" i="16"/>
  <c r="O22" i="16"/>
  <c r="I21" i="16"/>
  <c r="M19" i="16"/>
  <c r="M22" i="16"/>
  <c r="I22" i="16"/>
  <c r="O21" i="16"/>
  <c r="K21" i="16"/>
  <c r="G21" i="16"/>
  <c r="O19" i="16"/>
  <c r="K19" i="16"/>
  <c r="G19" i="16"/>
  <c r="G22" i="16"/>
  <c r="K22" i="16"/>
  <c r="L22" i="16"/>
  <c r="H22" i="16"/>
  <c r="N21" i="16"/>
  <c r="J21" i="16"/>
  <c r="F21" i="16"/>
  <c r="N19" i="16"/>
  <c r="J19" i="16"/>
  <c r="AA17" i="14"/>
  <c r="AG11" i="16"/>
  <c r="S28" i="16" s="1"/>
  <c r="AE11" i="16"/>
  <c r="S26" i="16" s="1"/>
  <c r="F39" i="16" l="1"/>
  <c r="H39" i="16"/>
  <c r="G39" i="16"/>
  <c r="E31" i="16"/>
  <c r="O39" i="16"/>
  <c r="I39" i="16"/>
  <c r="L39" i="16"/>
  <c r="M39" i="16"/>
  <c r="K39" i="16"/>
  <c r="J39" i="16"/>
  <c r="N39" i="16"/>
  <c r="E62" i="16"/>
  <c r="F62" i="16"/>
  <c r="D62" i="16"/>
  <c r="G62" i="16"/>
  <c r="D79" i="16" l="1"/>
  <c r="G79" i="16"/>
  <c r="J79" i="16"/>
  <c r="K79" i="16"/>
  <c r="F79" i="16"/>
  <c r="E79" i="16"/>
  <c r="I79" i="16"/>
  <c r="H79" i="16"/>
  <c r="D86" i="16"/>
  <c r="E86" i="16"/>
  <c r="H62" i="16"/>
  <c r="H31" i="16" l="1"/>
  <c r="J31" i="16"/>
  <c r="N31" i="16"/>
  <c r="K31" i="16"/>
  <c r="G31" i="16"/>
  <c r="M31" i="16"/>
  <c r="I31" i="16"/>
  <c r="F31" i="16"/>
  <c r="L31" i="16"/>
  <c r="O31" i="16"/>
  <c r="F86" i="16"/>
  <c r="I62" i="16"/>
  <c r="L79" i="16" l="1"/>
  <c r="G86" i="16"/>
  <c r="J62" i="16"/>
  <c r="M79" i="16" l="1"/>
  <c r="H86" i="16"/>
  <c r="K62" i="16"/>
  <c r="I86" i="16" l="1"/>
  <c r="M62" i="16"/>
  <c r="L62" i="16"/>
  <c r="J86" i="16" l="1"/>
  <c r="K86" i="16" l="1"/>
  <c r="M86" i="16" l="1"/>
  <c r="L86" i="16"/>
  <c r="D7" i="16" l="1"/>
  <c r="L7" i="16" l="1"/>
  <c r="M7" i="16" l="1"/>
  <c r="D13" i="16" l="1"/>
  <c r="R19" i="16" s="1"/>
  <c r="R18" i="16" s="1"/>
  <c r="K7" i="16" l="1"/>
  <c r="T18" i="16"/>
  <c r="T19" i="16"/>
  <c r="J7" i="16" l="1"/>
  <c r="I7" i="16" l="1"/>
  <c r="H7" i="16" l="1"/>
  <c r="G7" i="16" l="1"/>
  <c r="F7" i="16" l="1"/>
  <c r="J13" i="16" l="1"/>
  <c r="R25" i="16" s="1"/>
  <c r="T25" i="16" s="1"/>
  <c r="G13" i="16" l="1"/>
  <c r="R22" i="16" s="1"/>
  <c r="T22" i="16" s="1"/>
  <c r="F13" i="16" l="1"/>
  <c r="R21" i="16" l="1"/>
  <c r="T21" i="16" s="1"/>
  <c r="K13" i="16"/>
  <c r="R26" i="16" s="1"/>
  <c r="T26" i="16" s="1"/>
  <c r="H13" i="16" l="1"/>
  <c r="R23" i="16" s="1"/>
  <c r="T23" i="16" s="1"/>
  <c r="L13" i="16" l="1"/>
  <c r="R27" i="16" s="1"/>
  <c r="T27" i="16" s="1"/>
  <c r="M13" i="16" l="1"/>
  <c r="R28" i="16" s="1"/>
  <c r="T28" i="16" s="1"/>
  <c r="I13" i="16" l="1"/>
  <c r="R24" i="16" s="1"/>
  <c r="T24" i="16" s="1"/>
  <c r="E7" i="16" l="1"/>
  <c r="E13" i="16"/>
  <c r="R20" i="16" l="1"/>
  <c r="T20"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tc={C2FBB47C-5A8E-4718-810C-99B0F520EFB6}</author>
  </authors>
  <commentList>
    <comment ref="K26" authorId="0" shapeId="0" xr:uid="{C2FBB47C-5A8E-4718-810C-99B0F520EFB6}">
      <text>
        <t>[Threaded comment]
Your version of Excel allows you to read this threaded comment; however, any edits to it will get removed if the file is opened in a newer version of Excel. Learn more: https://go.microsoft.com/fwlink/?linkid=870924
Comment:
    Evaluates to -0.2, I rounded to 0.0</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<sst xmlns="http://schemas.openxmlformats.org/spreadsheetml/2006/main" count="1271" uniqueCount="368">
  <si>
    <r>
      <rPr>
        <sz val="9.5"/>
        <rFont val="Verdana"/>
        <family val="2"/>
      </rPr>
      <t>AVG QTY Per Serve</t>
    </r>
  </si>
  <si>
    <r>
      <rPr>
        <sz val="9.5"/>
        <rFont val="Verdana"/>
        <family val="2"/>
      </rPr>
      <t>Serving Size (g)</t>
    </r>
  </si>
  <si>
    <r>
      <rPr>
        <sz val="9.5"/>
        <rFont val="Verdana"/>
        <family val="2"/>
      </rPr>
      <t>Energy (kJ)</t>
    </r>
  </si>
  <si>
    <r>
      <rPr>
        <sz val="9.5"/>
        <rFont val="Verdana"/>
        <family val="2"/>
      </rPr>
      <t>Energy (kcal)</t>
    </r>
  </si>
  <si>
    <r>
      <rPr>
        <sz val="9.5"/>
        <rFont val="Verdana"/>
        <family val="2"/>
      </rPr>
      <t>Protein (g)</t>
    </r>
  </si>
  <si>
    <r>
      <rPr>
        <sz val="9.5"/>
        <rFont val="Verdana"/>
        <family val="2"/>
      </rPr>
      <t>Fat, Total (g)</t>
    </r>
  </si>
  <si>
    <r>
      <rPr>
        <sz val="9.5"/>
        <rFont val="Verdana"/>
        <family val="2"/>
      </rPr>
      <t>Sat. Fat (g)</t>
    </r>
  </si>
  <si>
    <r>
      <rPr>
        <sz val="9.5"/>
        <rFont val="Verdana"/>
        <family val="2"/>
      </rPr>
      <t>Carbohydrates (g)</t>
    </r>
  </si>
  <si>
    <r>
      <rPr>
        <sz val="9.5"/>
        <rFont val="Verdana"/>
        <family val="2"/>
      </rPr>
      <t>Sugars (g)</t>
    </r>
  </si>
  <si>
    <r>
      <rPr>
        <sz val="9.5"/>
        <rFont val="Verdana"/>
        <family val="2"/>
      </rPr>
      <t>Dietary Fiber (g)</t>
    </r>
  </si>
  <si>
    <r>
      <rPr>
        <sz val="9.5"/>
        <rFont val="Verdana"/>
        <family val="2"/>
      </rPr>
      <t>Sodium (mg)</t>
    </r>
  </si>
  <si>
    <r>
      <rPr>
        <sz val="7.5"/>
        <color rgb="FFFFFFFF"/>
        <rFont val="Arial"/>
        <family val="2"/>
      </rPr>
      <t xml:space="preserve">Values include white bread, lettuce, spinach, tomatoes cucumbers, onions
</t>
    </r>
    <r>
      <rPr>
        <sz val="7.5"/>
        <color rgb="FFFFFFFF"/>
        <rFont val="Arial"/>
        <family val="2"/>
      </rPr>
      <t xml:space="preserve">Subway 6-Inch® Sub
</t>
    </r>
    <r>
      <rPr>
        <sz val="7.5"/>
        <color rgb="FFFFFFFF"/>
        <rFont val="Arial"/>
        <family val="2"/>
      </rPr>
      <t>and capsicum</t>
    </r>
  </si>
  <si>
    <r>
      <rPr>
        <sz val="7.5"/>
        <rFont val="Arial"/>
        <family val="2"/>
      </rPr>
      <t>Buffalo Chicken</t>
    </r>
  </si>
  <si>
    <r>
      <rPr>
        <sz val="7.5"/>
        <rFont val="Arial"/>
        <family val="2"/>
      </rPr>
      <t>Chicken and Bacon Ranch Melt (with Mozzarella)</t>
    </r>
  </si>
  <si>
    <r>
      <rPr>
        <sz val="7.5"/>
        <rFont val="Arial"/>
        <family val="2"/>
      </rPr>
      <t>Chicken Classic</t>
    </r>
  </si>
  <si>
    <r>
      <rPr>
        <sz val="7.5"/>
        <rFont val="Arial"/>
        <family val="2"/>
      </rPr>
      <t>Chicken Strips</t>
    </r>
  </si>
  <si>
    <r>
      <rPr>
        <sz val="7.5"/>
        <rFont val="Arial"/>
        <family val="2"/>
      </rPr>
      <t>Chicken Teriyaki</t>
    </r>
  </si>
  <si>
    <r>
      <rPr>
        <sz val="7.5"/>
        <rFont val="Arial"/>
        <family val="2"/>
      </rPr>
      <t>Italian B.M.T.® (with Salami, Pepperoni and Leg Ham)</t>
    </r>
  </si>
  <si>
    <r>
      <rPr>
        <sz val="7.5"/>
        <rFont val="Arial"/>
        <family val="2"/>
      </rPr>
      <t>Leg Ham</t>
    </r>
  </si>
  <si>
    <r>
      <rPr>
        <sz val="7.5"/>
        <rFont val="Arial"/>
        <family val="2"/>
      </rPr>
      <t>Meatball Melt (with Marinara and Mozzarella)</t>
    </r>
  </si>
  <si>
    <r>
      <rPr>
        <sz val="7.5"/>
        <rFont val="Arial"/>
        <family val="2"/>
      </rPr>
      <t>Pizza Melt (with Salami, Pepperoni, Mozarella and Marinara Sauce)</t>
    </r>
  </si>
  <si>
    <r>
      <rPr>
        <sz val="7.5"/>
        <rFont val="Arial"/>
        <family val="2"/>
      </rPr>
      <t>Pork Riblet with Smoky BBQ Sauce</t>
    </r>
  </si>
  <si>
    <r>
      <rPr>
        <sz val="7.5"/>
        <rFont val="Arial"/>
        <family val="2"/>
      </rPr>
      <t>Roast Beef</t>
    </r>
  </si>
  <si>
    <r>
      <rPr>
        <sz val="7.5"/>
        <rFont val="Arial"/>
        <family val="2"/>
      </rPr>
      <t>Smashed Falafel</t>
    </r>
  </si>
  <si>
    <r>
      <rPr>
        <sz val="7.5"/>
        <rFont val="Arial"/>
        <family val="2"/>
      </rPr>
      <t>Steak Melt (with Mozzarella Cheese)</t>
    </r>
  </si>
  <si>
    <r>
      <rPr>
        <sz val="7.5"/>
        <rFont val="Arial"/>
        <family val="2"/>
      </rPr>
      <t>Three Pepper Chicken</t>
    </r>
  </si>
  <si>
    <r>
      <rPr>
        <sz val="7.5"/>
        <rFont val="Arial"/>
        <family val="2"/>
      </rPr>
      <t>Tuna &amp; Mayo (with Mayonnaise)</t>
    </r>
  </si>
  <si>
    <r>
      <rPr>
        <sz val="7.5"/>
        <rFont val="Arial"/>
        <family val="2"/>
      </rPr>
      <t>Turkey, Sliced</t>
    </r>
  </si>
  <si>
    <r>
      <rPr>
        <sz val="7.5"/>
        <rFont val="Arial"/>
        <family val="2"/>
      </rPr>
      <t>Veggie Delite® with Avo</t>
    </r>
  </si>
  <si>
    <r>
      <rPr>
        <sz val="7.5"/>
        <rFont val="Arial"/>
        <family val="2"/>
      </rPr>
      <t>Veggie Patty</t>
    </r>
  </si>
  <si>
    <r>
      <rPr>
        <sz val="7.5"/>
        <color rgb="FFFFFFFF"/>
        <rFont val="Arial"/>
        <family val="2"/>
      </rPr>
      <t xml:space="preserve">Values include white bread, lettuce, spinach, tomatoes cucumbers, onions
</t>
    </r>
    <r>
      <rPr>
        <sz val="7.5"/>
        <color rgb="FFFFFFFF"/>
        <rFont val="Arial"/>
        <family val="2"/>
      </rPr>
      <t xml:space="preserve">Mini Subs
</t>
    </r>
    <r>
      <rPr>
        <sz val="7.5"/>
        <color rgb="FFFFFFFF"/>
        <rFont val="Arial"/>
        <family val="2"/>
      </rPr>
      <t>and capsicum</t>
    </r>
  </si>
  <si>
    <r>
      <rPr>
        <sz val="7.5"/>
        <rFont val="Arial"/>
        <family val="2"/>
      </rPr>
      <t>Turkey Sliced</t>
    </r>
  </si>
  <si>
    <r>
      <rPr>
        <sz val="7.5"/>
        <rFont val="Arial"/>
        <family val="2"/>
      </rPr>
      <t>Bacon and Egg (with Cheddar Cheese)</t>
    </r>
  </si>
  <si>
    <r>
      <rPr>
        <sz val="7.5"/>
        <rFont val="Arial"/>
        <family val="2"/>
      </rPr>
      <t>Egg and Cheese (Cheddar)</t>
    </r>
  </si>
  <si>
    <r>
      <rPr>
        <sz val="7.5"/>
        <rFont val="Arial"/>
        <family val="2"/>
      </rPr>
      <t>Ham, Egg and Cheese (Cheddar)</t>
    </r>
  </si>
  <si>
    <r>
      <rPr>
        <sz val="7.5"/>
        <rFont val="Arial"/>
        <family val="2"/>
      </rPr>
      <t>Steak, Egg and Cheese (Cheddar)</t>
    </r>
  </si>
  <si>
    <r>
      <rPr>
        <sz val="7.5"/>
        <color rgb="FFFFFFFF"/>
        <rFont val="Arial"/>
        <family val="2"/>
      </rPr>
      <t>Snacks</t>
    </r>
  </si>
  <si>
    <r>
      <rPr>
        <sz val="7.5"/>
        <rFont val="Arial"/>
        <family val="2"/>
      </rPr>
      <t>Avocado Toastie (on White Bread)</t>
    </r>
  </si>
  <si>
    <r>
      <rPr>
        <sz val="7.5"/>
        <rFont val="Arial"/>
        <family val="2"/>
      </rPr>
      <t>Cheesy Garlic Toastie (on White Bread)</t>
    </r>
  </si>
  <si>
    <r>
      <rPr>
        <sz val="7.5"/>
        <rFont val="Arial"/>
        <family val="2"/>
      </rPr>
      <t>Chipotle Quesadilla (on wrap with Mozzarella Cheese)</t>
    </r>
  </si>
  <si>
    <r>
      <rPr>
        <sz val="7.5"/>
        <rFont val="Arial"/>
        <family val="2"/>
      </rPr>
      <t>Garlic &amp; Herb Toastie (on White Bread)</t>
    </r>
  </si>
  <si>
    <r>
      <rPr>
        <sz val="7.5"/>
        <rFont val="Arial"/>
        <family val="2"/>
      </rPr>
      <t>Ham, Cheese &amp; Tomato Jaffle (on White Bread with Mayonnaise)</t>
    </r>
  </si>
  <si>
    <r>
      <rPr>
        <sz val="7.5"/>
        <rFont val="Arial"/>
        <family val="2"/>
      </rPr>
      <t>Meatball Mozza Pot (with Marinara Sauce)</t>
    </r>
  </si>
  <si>
    <r>
      <rPr>
        <sz val="7.5"/>
        <color rgb="FFFFFFFF"/>
        <rFont val="Arial"/>
        <family val="2"/>
      </rPr>
      <t>Cookies</t>
    </r>
  </si>
  <si>
    <r>
      <rPr>
        <sz val="7.5"/>
        <rFont val="Arial"/>
        <family val="2"/>
      </rPr>
      <t>Chocolate Chip Cookie</t>
    </r>
  </si>
  <si>
    <r>
      <rPr>
        <sz val="7.5"/>
        <rFont val="Arial"/>
        <family val="2"/>
      </rPr>
      <t xml:space="preserve">Chocolate Chip Cookie with </t>
    </r>
    <r>
      <rPr>
        <i/>
        <sz val="7.5"/>
        <rFont val="Arial"/>
        <family val="2"/>
      </rPr>
      <t>M&amp;M'S</t>
    </r>
  </si>
  <si>
    <r>
      <rPr>
        <sz val="7.5"/>
        <rFont val="Arial"/>
        <family val="2"/>
      </rPr>
      <t>Double Chocolate Chip Cookie</t>
    </r>
  </si>
  <si>
    <r>
      <rPr>
        <sz val="7.5"/>
        <rFont val="Arial"/>
        <family val="2"/>
      </rPr>
      <t>Oatmeal Raisin Cookie</t>
    </r>
  </si>
  <si>
    <r>
      <rPr>
        <sz val="7.5"/>
        <rFont val="Arial"/>
        <family val="2"/>
      </rPr>
      <t>White Chip Macadamia Nut Cookie</t>
    </r>
  </si>
  <si>
    <r>
      <rPr>
        <sz val="7.5"/>
        <color rgb="FFFFFFFF"/>
        <rFont val="Arial"/>
        <family val="2"/>
      </rPr>
      <t>Baked Goods (available at selected locations)</t>
    </r>
  </si>
  <si>
    <r>
      <rPr>
        <sz val="7.5"/>
        <rFont val="Arial"/>
        <family val="2"/>
      </rPr>
      <t>Apple &amp; Custard Danish</t>
    </r>
  </si>
  <si>
    <r>
      <rPr>
        <sz val="7.5"/>
        <rFont val="Arial"/>
        <family val="2"/>
      </rPr>
      <t>Apricot &amp; Custard Danish</t>
    </r>
  </si>
  <si>
    <r>
      <rPr>
        <sz val="7.5"/>
        <rFont val="Arial"/>
        <family val="2"/>
      </rPr>
      <t>Boysenberry &amp; Custard Danish</t>
    </r>
  </si>
  <si>
    <r>
      <rPr>
        <sz val="7.5"/>
        <color rgb="FFFFFFFF"/>
        <rFont val="Arial"/>
        <family val="2"/>
      </rPr>
      <t>Sides</t>
    </r>
  </si>
  <si>
    <r>
      <rPr>
        <sz val="7.5"/>
        <rFont val="Arial"/>
        <family val="2"/>
      </rPr>
      <t>Wattie's Fruit Squirtz, Apple &amp; Blackcurrant Puree</t>
    </r>
  </si>
  <si>
    <r>
      <rPr>
        <sz val="7.5"/>
        <rFont val="Arial"/>
        <family val="2"/>
      </rPr>
      <t>Wattie's Fruit Squirtz, Apple &amp; Peach Puree</t>
    </r>
  </si>
  <si>
    <r>
      <rPr>
        <sz val="7.5"/>
        <rFont val="Arial"/>
        <family val="2"/>
      </rPr>
      <t>Wattie's Fruit Squirtz, Apple &amp; Strawberry Puree</t>
    </r>
  </si>
  <si>
    <r>
      <rPr>
        <sz val="7.5"/>
        <color rgb="FFFFFFFF"/>
        <rFont val="Arial"/>
        <family val="2"/>
      </rPr>
      <t>Breads</t>
    </r>
  </si>
  <si>
    <r>
      <rPr>
        <sz val="7.5"/>
        <rFont val="Arial"/>
        <family val="2"/>
      </rPr>
      <t>Subway 6 Inch® Wheat Bread</t>
    </r>
  </si>
  <si>
    <r>
      <rPr>
        <sz val="7.5"/>
        <rFont val="Arial"/>
        <family val="2"/>
      </rPr>
      <t>Subway 6-Inch® White Bread</t>
    </r>
  </si>
  <si>
    <r>
      <rPr>
        <sz val="7.5"/>
        <rFont val="Arial"/>
        <family val="2"/>
      </rPr>
      <t>Subway 6-Inch® Malted Rye Bread</t>
    </r>
  </si>
  <si>
    <r>
      <rPr>
        <sz val="7.5"/>
        <rFont val="Arial"/>
        <family val="2"/>
      </rPr>
      <t>Subway 6-Inch® Italian Herbs &amp; Cheese Bread</t>
    </r>
  </si>
  <si>
    <r>
      <rPr>
        <sz val="7.5"/>
        <rFont val="Arial"/>
        <family val="2"/>
      </rPr>
      <t>Subway 6-Inch® Roasted Garlic Bread</t>
    </r>
  </si>
  <si>
    <r>
      <rPr>
        <sz val="7.5"/>
        <rFont val="Arial"/>
        <family val="2"/>
      </rPr>
      <t>Mini Wheat Bread</t>
    </r>
  </si>
  <si>
    <r>
      <rPr>
        <sz val="7.5"/>
        <rFont val="Arial"/>
        <family val="2"/>
      </rPr>
      <t>Mini White Bread</t>
    </r>
  </si>
  <si>
    <r>
      <rPr>
        <sz val="7.5"/>
        <rFont val="Arial"/>
        <family val="2"/>
      </rPr>
      <t>Wrap, Flour</t>
    </r>
  </si>
  <si>
    <r>
      <rPr>
        <sz val="7.5"/>
        <rFont val="Arial"/>
        <family val="2"/>
      </rPr>
      <t>Wrap, Gluten Free *</t>
    </r>
  </si>
  <si>
    <r>
      <rPr>
        <sz val="7.5"/>
        <color rgb="FFFFFFFF"/>
        <rFont val="Arial"/>
        <family val="2"/>
      </rPr>
      <t>Meat, Poultry, Egg, Seafood &amp; Vegetarian                                                        (Amount on Subway 6-Inch® sub)</t>
    </r>
  </si>
  <si>
    <r>
      <rPr>
        <sz val="7.5"/>
        <rFont val="Arial"/>
        <family val="2"/>
      </rPr>
      <t>Bacon, Streaky (2 strips)</t>
    </r>
  </si>
  <si>
    <r>
      <rPr>
        <sz val="7.5"/>
        <rFont val="Arial"/>
        <family val="2"/>
      </rPr>
      <t>Egg Omelette</t>
    </r>
  </si>
  <si>
    <r>
      <rPr>
        <sz val="7.5"/>
        <rFont val="Arial"/>
        <family val="2"/>
      </rPr>
      <t>Meatball Marinara</t>
    </r>
  </si>
  <si>
    <r>
      <rPr>
        <sz val="7.5"/>
        <rFont val="Arial"/>
        <family val="2"/>
      </rPr>
      <t>Pepperoni</t>
    </r>
  </si>
  <si>
    <r>
      <rPr>
        <sz val="7.5"/>
        <rFont val="Arial"/>
        <family val="2"/>
      </rPr>
      <t>Pork Riblet</t>
    </r>
  </si>
  <si>
    <r>
      <rPr>
        <sz val="7.5"/>
        <rFont val="Arial"/>
        <family val="2"/>
      </rPr>
      <t>Salami</t>
    </r>
  </si>
  <si>
    <r>
      <rPr>
        <sz val="7.5"/>
        <rFont val="Arial"/>
        <family val="2"/>
      </rPr>
      <t>Steak, Diced</t>
    </r>
  </si>
  <si>
    <r>
      <rPr>
        <sz val="7.5"/>
        <color rgb="FFFFFFFF"/>
        <rFont val="Arial"/>
        <family val="2"/>
      </rPr>
      <t xml:space="preserve">Sauces &amp; Dressings                                                                                             </t>
    </r>
    <r>
      <rPr>
        <vertAlign val="superscript"/>
        <sz val="7.5"/>
        <color rgb="FFFFFFFF"/>
        <rFont val="Arial"/>
        <family val="2"/>
      </rPr>
      <t>(Amount on Subway 6-Inch® sub)</t>
    </r>
  </si>
  <si>
    <r>
      <rPr>
        <sz val="7.5"/>
        <rFont val="Arial"/>
        <family val="2"/>
      </rPr>
      <t>Blue Cheese Dressing</t>
    </r>
  </si>
  <si>
    <r>
      <rPr>
        <sz val="7.5"/>
        <rFont val="Arial"/>
        <family val="2"/>
      </rPr>
      <t>Chipotle Southwest Sauce</t>
    </r>
  </si>
  <si>
    <r>
      <rPr>
        <sz val="7.5"/>
        <rFont val="Arial"/>
        <family val="2"/>
      </rPr>
      <t>Garlic Aioli</t>
    </r>
  </si>
  <si>
    <r>
      <rPr>
        <sz val="7.5"/>
        <rFont val="Arial"/>
        <family val="2"/>
      </rPr>
      <t>Habanero Hot Sauce</t>
    </r>
  </si>
  <si>
    <r>
      <rPr>
        <sz val="7.5"/>
        <rFont val="Arial"/>
        <family val="2"/>
      </rPr>
      <t>Honey Mustard Sauce</t>
    </r>
  </si>
  <si>
    <r>
      <rPr>
        <sz val="7.5"/>
        <rFont val="Arial"/>
        <family val="2"/>
      </rPr>
      <t>Marinara</t>
    </r>
  </si>
  <si>
    <r>
      <rPr>
        <sz val="7.5"/>
        <rFont val="Arial"/>
        <family val="2"/>
      </rPr>
      <t>Mayonnaise</t>
    </r>
  </si>
  <si>
    <r>
      <rPr>
        <sz val="7.5"/>
        <rFont val="Arial"/>
        <family val="2"/>
      </rPr>
      <t>Ranch Dressing</t>
    </r>
  </si>
  <si>
    <r>
      <rPr>
        <sz val="7.5"/>
        <rFont val="Arial"/>
        <family val="2"/>
      </rPr>
      <t>Smoky BBQ Sauce</t>
    </r>
  </si>
  <si>
    <r>
      <rPr>
        <sz val="7.5"/>
        <rFont val="Arial"/>
        <family val="2"/>
      </rPr>
      <t>Spicy Mayonnaise</t>
    </r>
  </si>
  <si>
    <r>
      <rPr>
        <sz val="7.5"/>
        <rFont val="Arial"/>
        <family val="2"/>
      </rPr>
      <t>Sweet Chili Sauce</t>
    </r>
  </si>
  <si>
    <r>
      <rPr>
        <sz val="7.5"/>
        <rFont val="Arial"/>
        <family val="2"/>
      </rPr>
      <t>Sweet Onion Sauce</t>
    </r>
  </si>
  <si>
    <r>
      <rPr>
        <sz val="7.5"/>
        <color rgb="FFFFFFFF"/>
        <rFont val="Arial"/>
        <family val="2"/>
      </rPr>
      <t xml:space="preserve">Cheeses                                                                                                               </t>
    </r>
    <r>
      <rPr>
        <vertAlign val="superscript"/>
        <sz val="7.5"/>
        <color rgb="FFFFFFFF"/>
        <rFont val="Arial"/>
        <family val="2"/>
      </rPr>
      <t>(Amount on Subway 6-Inch® sub)</t>
    </r>
  </si>
  <si>
    <r>
      <rPr>
        <sz val="7.5"/>
        <rFont val="Arial"/>
        <family val="2"/>
      </rPr>
      <t>Cheddar-Style Cheese, (Slice)</t>
    </r>
  </si>
  <si>
    <r>
      <rPr>
        <sz val="7.5"/>
        <rFont val="Arial"/>
        <family val="2"/>
      </rPr>
      <t>Mozzarella Cheese (shredded)</t>
    </r>
  </si>
  <si>
    <r>
      <rPr>
        <sz val="7.5"/>
        <rFont val="Arial"/>
        <family val="2"/>
      </rPr>
      <t>Old English-Style Cheese (slice)</t>
    </r>
  </si>
  <si>
    <r>
      <rPr>
        <sz val="7.5"/>
        <color rgb="FFFFFFFF"/>
        <rFont val="Arial"/>
        <family val="2"/>
      </rPr>
      <t xml:space="preserve">Vegetables                                                                                                           </t>
    </r>
    <r>
      <rPr>
        <vertAlign val="superscript"/>
        <sz val="7.5"/>
        <color rgb="FFFFFFFF"/>
        <rFont val="Arial"/>
        <family val="2"/>
      </rPr>
      <t>(Amount on Subway 6-Inch® sub)</t>
    </r>
  </si>
  <si>
    <r>
      <rPr>
        <sz val="7.5"/>
        <rFont val="Arial"/>
        <family val="2"/>
      </rPr>
      <t>Avocado</t>
    </r>
  </si>
  <si>
    <r>
      <rPr>
        <sz val="7.5"/>
        <rFont val="Arial"/>
        <family val="2"/>
      </rPr>
      <t>Beetroot (Selected Locations Only)</t>
    </r>
  </si>
  <si>
    <r>
      <rPr>
        <sz val="7.5"/>
        <rFont val="Arial"/>
        <family val="2"/>
      </rPr>
      <t>Capsicum (3 strips)</t>
    </r>
  </si>
  <si>
    <r>
      <rPr>
        <sz val="7.5"/>
        <rFont val="Arial"/>
        <family val="2"/>
      </rPr>
      <t>Carrots</t>
    </r>
  </si>
  <si>
    <r>
      <rPr>
        <sz val="7.5"/>
        <rFont val="Arial"/>
        <family val="2"/>
      </rPr>
      <t>Cucumbers (3 slices)</t>
    </r>
  </si>
  <si>
    <r>
      <rPr>
        <sz val="7.5"/>
        <rFont val="Arial"/>
        <family val="2"/>
      </rPr>
      <t>Jalapeno Peppers (3 rings)</t>
    </r>
  </si>
  <si>
    <r>
      <rPr>
        <sz val="7.5"/>
        <rFont val="Arial"/>
        <family val="2"/>
      </rPr>
      <t>Lettuce</t>
    </r>
  </si>
  <si>
    <r>
      <rPr>
        <sz val="7.5"/>
        <rFont val="Arial"/>
        <family val="2"/>
      </rPr>
      <t>Onions</t>
    </r>
  </si>
  <si>
    <r>
      <rPr>
        <sz val="7.5"/>
        <rFont val="Arial"/>
        <family val="2"/>
      </rPr>
      <t>Olives (3 rings)</t>
    </r>
  </si>
  <si>
    <r>
      <rPr>
        <sz val="7.5"/>
        <rFont val="Arial"/>
        <family val="2"/>
      </rPr>
      <t>Pickles (3 wheels)</t>
    </r>
  </si>
  <si>
    <r>
      <rPr>
        <sz val="7.5"/>
        <rFont val="Arial"/>
        <family val="2"/>
      </rPr>
      <t>Pineapple (Selected Locations Only)</t>
    </r>
  </si>
  <si>
    <r>
      <rPr>
        <sz val="7.5"/>
        <rFont val="Arial"/>
        <family val="2"/>
      </rPr>
      <t>Spinach</t>
    </r>
  </si>
  <si>
    <r>
      <rPr>
        <sz val="7.5"/>
        <rFont val="Arial"/>
        <family val="2"/>
      </rPr>
      <t>Tomatoes (3 wheels)</t>
    </r>
  </si>
  <si>
    <r>
      <rPr>
        <sz val="7.5"/>
        <color rgb="FFFFFFFF"/>
        <rFont val="Arial"/>
        <family val="2"/>
      </rPr>
      <t xml:space="preserve">Seasonings                                                                                                          </t>
    </r>
    <r>
      <rPr>
        <vertAlign val="superscript"/>
        <sz val="7.5"/>
        <color rgb="FFFFFFFF"/>
        <rFont val="Arial"/>
        <family val="2"/>
      </rPr>
      <t>(Amount on Subway 6-Inch® sub)</t>
    </r>
  </si>
  <si>
    <r>
      <rPr>
        <sz val="7.5"/>
        <rFont val="Arial"/>
        <family val="2"/>
      </rPr>
      <t>Pepper</t>
    </r>
  </si>
  <si>
    <r>
      <rPr>
        <sz val="7.5"/>
        <rFont val="Arial"/>
        <family val="2"/>
      </rPr>
      <t>Salt</t>
    </r>
  </si>
  <si>
    <r>
      <rPr>
        <sz val="7.5"/>
        <color rgb="FFFFFFFF"/>
        <rFont val="Arial"/>
        <family val="2"/>
      </rPr>
      <t>Smoothies</t>
    </r>
  </si>
  <si>
    <r>
      <rPr>
        <sz val="7.5"/>
        <rFont val="Arial"/>
        <family val="2"/>
      </rPr>
      <t>Blueberry and Mango</t>
    </r>
  </si>
  <si>
    <r>
      <rPr>
        <sz val="7.5"/>
        <rFont val="Arial"/>
        <family val="2"/>
      </rPr>
      <t>Strawberry</t>
    </r>
  </si>
  <si>
    <r>
      <rPr>
        <sz val="7.5"/>
        <rFont val="Arial"/>
        <family val="2"/>
      </rPr>
      <t>Tropical</t>
    </r>
  </si>
  <si>
    <r>
      <rPr>
        <sz val="7.5"/>
        <color rgb="FFFFFFFF"/>
        <rFont val="Arial"/>
        <family val="2"/>
      </rPr>
      <t xml:space="preserve">PROMOTIONAL ITEMS                                                                                        </t>
    </r>
    <r>
      <rPr>
        <vertAlign val="superscript"/>
        <sz val="7.5"/>
        <color rgb="FFFFFFFF"/>
        <rFont val="Arial"/>
        <family val="2"/>
      </rPr>
      <t xml:space="preserve">Values include lettuce, onions, pickles, carrots, BBQ sauce on italian herb
</t>
    </r>
    <r>
      <rPr>
        <sz val="7.5"/>
        <color rgb="FFFFFFFF"/>
        <rFont val="Arial"/>
        <family val="2"/>
      </rPr>
      <t xml:space="preserve">Subway® BBQ Pulled Pork                                                                                  </t>
    </r>
    <r>
      <rPr>
        <vertAlign val="superscript"/>
        <sz val="7.5"/>
        <color rgb="FFFFFFFF"/>
        <rFont val="Arial"/>
        <family val="2"/>
      </rPr>
      <t>&amp; cheese bread</t>
    </r>
  </si>
  <si>
    <r>
      <rPr>
        <sz val="7.5"/>
        <rFont val="Arial"/>
        <family val="2"/>
      </rPr>
      <t>Subway 6-Inch® BBQ Pulled Pork</t>
    </r>
  </si>
  <si>
    <r>
      <rPr>
        <sz val="7.5"/>
        <color rgb="FFFFFFFF"/>
        <rFont val="Arial"/>
        <family val="2"/>
      </rPr>
      <t xml:space="preserve">Values include lettuce, onions, jalapeno peppers, carrots, spicy
</t>
    </r>
    <r>
      <rPr>
        <sz val="7.5"/>
        <color rgb="FFFFFFFF"/>
        <rFont val="Arial"/>
        <family val="2"/>
      </rPr>
      <t xml:space="preserve">Subway® BBQ Pulled Pork with Bacon
</t>
    </r>
    <r>
      <rPr>
        <sz val="7.5"/>
        <color rgb="FFFFFFFF"/>
        <rFont val="Arial"/>
        <family val="2"/>
      </rPr>
      <t>mayonnaise, sliced cheddar-style cheese on white bread</t>
    </r>
  </si>
  <si>
    <r>
      <rPr>
        <sz val="7.5"/>
        <rFont val="Arial"/>
        <family val="2"/>
      </rPr>
      <t>Subway 6-Inch® BBQ Pulled Pork with Bacon</t>
    </r>
  </si>
  <si>
    <r>
      <rPr>
        <sz val="7.5"/>
        <color rgb="FFFFFFFF"/>
        <rFont val="Arial"/>
        <family val="2"/>
      </rPr>
      <t>Meat, Poultry, Egg, Seafood</t>
    </r>
  </si>
  <si>
    <r>
      <rPr>
        <sz val="5.5"/>
        <color rgb="FF008938"/>
        <rFont val="Arial"/>
        <family val="2"/>
      </rPr>
      <t xml:space="preserve">Nutrition information compiled using nutrition analysis from approved food manufacturers, independent laboratories and the USDA National Nutrient Database for Standard Reference.  The
</t>
    </r>
    <r>
      <rPr>
        <sz val="5.5"/>
        <color rgb="FF008938"/>
        <rFont val="Arial"/>
        <family val="2"/>
      </rPr>
      <t xml:space="preserve">nutrition information listed here is based on standard recipes and product formulations, however slight variations may occur due to the season of the year, use of an alternate supplier, region of the country and/or small differences in product assembly.
</t>
    </r>
    <r>
      <rPr>
        <sz val="5.5"/>
        <color rgb="FF008938"/>
        <rFont val="Arial"/>
        <family val="2"/>
      </rPr>
      <t xml:space="preserve">Double values for approximate Subway Footlong® sub nutrition values.
</t>
    </r>
    <r>
      <rPr>
        <sz val="5.5"/>
        <color rgb="FF008938"/>
        <rFont val="Arial"/>
        <family val="2"/>
      </rPr>
      <t>* Our gluten free products are manufactured in a gluten free facility. However, other menu items and ingredients in our restaurants contain gluten. Although we take steps to reduce the chances of cross contamination, we prepare our items on shared equipment so we cannot guarantee our menu items are gluten free. If you have food allergies, sensitivities or special dietary needs, please visit our website – https://www.subway.com/en-NZ for more information.</t>
    </r>
  </si>
  <si>
    <t>Buffalo Chicken</t>
  </si>
  <si>
    <t>Chicken Classic</t>
  </si>
  <si>
    <t>Chicken Strips</t>
  </si>
  <si>
    <t>Chicken Teriyaki</t>
  </si>
  <si>
    <t>Leg Ham</t>
  </si>
  <si>
    <t>Pork Riblet with Smoky BBQ Sauce</t>
  </si>
  <si>
    <t>Roast Beef</t>
  </si>
  <si>
    <t>Smashed Falafel</t>
  </si>
  <si>
    <t>Three Pepper Chicken</t>
  </si>
  <si>
    <t>Tuna &amp; Mayo (with Mayonnaise)</t>
  </si>
  <si>
    <t>Turkey, Sliced</t>
  </si>
  <si>
    <t>Veggie Delite® with Avo</t>
  </si>
  <si>
    <t>Veggie Patty</t>
  </si>
  <si>
    <t>Turkey Sliced</t>
  </si>
  <si>
    <t>Chocolate Chip Cookie</t>
  </si>
  <si>
    <t>Double Chocolate Chip Cookie</t>
  </si>
  <si>
    <t>Oatmeal Raisin Cookie</t>
  </si>
  <si>
    <t>White Chip Macadamia Nut Cookie</t>
  </si>
  <si>
    <t>Apple &amp; Custard Danish</t>
  </si>
  <si>
    <t>Apricot &amp; Custard Danish</t>
  </si>
  <si>
    <t>Boysenberry &amp; Custard Danish</t>
  </si>
  <si>
    <t>Serving Size (g)</t>
  </si>
  <si>
    <t>Energy (kJ)</t>
  </si>
  <si>
    <t>Energy (kcal)</t>
  </si>
  <si>
    <t>Protein (g)</t>
  </si>
  <si>
    <t>Fat, Total (g)</t>
  </si>
  <si>
    <t>Sat. Fat (g)</t>
  </si>
  <si>
    <t>Carbohydrates (g)</t>
  </si>
  <si>
    <t>Sugars (g)</t>
  </si>
  <si>
    <t>Dietary Fiber (g)</t>
  </si>
  <si>
    <t>Sodium (mg)</t>
  </si>
  <si>
    <t>Snacks</t>
  </si>
  <si>
    <t>Cookies</t>
  </si>
  <si>
    <t>Baked Goods (available at selected locations)</t>
  </si>
  <si>
    <r>
      <t xml:space="preserve">Chocolate Chip Cookie with </t>
    </r>
    <r>
      <rPr>
        <i/>
        <sz val="12"/>
        <color theme="1"/>
        <rFont val="Calibri"/>
        <family val="2"/>
        <scheme val="minor"/>
      </rPr>
      <t>M&amp;M'S</t>
    </r>
  </si>
  <si>
    <t>Values include white bread, lettuce, spinach, tomatoes cucumbers, onions and capsicum</t>
  </si>
  <si>
    <t>Sheet 1</t>
  </si>
  <si>
    <t>Meat (6inch)</t>
  </si>
  <si>
    <t>Breakfast (6inch)</t>
  </si>
  <si>
    <t>Bread</t>
  </si>
  <si>
    <t>Sides</t>
  </si>
  <si>
    <t>Breads</t>
  </si>
  <si>
    <t>Subway 6 Inch® Wheat Bread</t>
  </si>
  <si>
    <t>Subway 6-Inch® White Bread</t>
  </si>
  <si>
    <t>Subway 6-Inch® Malted Rye Bread</t>
  </si>
  <si>
    <t>Subway 6-Inch® Italian Herbs &amp; Cheese Bread</t>
  </si>
  <si>
    <t>Subway 6-Inch® Roasted Garlic Bread</t>
  </si>
  <si>
    <t>Mini Wheat Bread</t>
  </si>
  <si>
    <t>Mini White Bread</t>
  </si>
  <si>
    <t>Wrap, Flour</t>
  </si>
  <si>
    <t>Wrap, Gluten Free *</t>
  </si>
  <si>
    <t>Bacon, Streaky (2 strips)</t>
  </si>
  <si>
    <t>Egg Omelette</t>
  </si>
  <si>
    <t>Meatball Marinara</t>
  </si>
  <si>
    <t>Pepperoni</t>
  </si>
  <si>
    <t>Pork Riblet</t>
  </si>
  <si>
    <t>Salami</t>
  </si>
  <si>
    <t>Steak, Diced</t>
  </si>
  <si>
    <t>Blue Cheese Dressing</t>
  </si>
  <si>
    <t>Chipotle Southwest Sauce</t>
  </si>
  <si>
    <t>Garlic Aioli</t>
  </si>
  <si>
    <t>Habanero Hot Sauce</t>
  </si>
  <si>
    <t>Honey Mustard Sauce</t>
  </si>
  <si>
    <t>Marinara</t>
  </si>
  <si>
    <t>Mayonnaise</t>
  </si>
  <si>
    <t>Ranch Dressing</t>
  </si>
  <si>
    <t>Smoky BBQ Sauce</t>
  </si>
  <si>
    <t>Spicy Mayonnaise</t>
  </si>
  <si>
    <t>Sweet Chili Sauce</t>
  </si>
  <si>
    <t>Sweet Onion Sauce</t>
  </si>
  <si>
    <t>Mozzarella Cheese (shredded)</t>
  </si>
  <si>
    <t>Avocado</t>
  </si>
  <si>
    <t>Capsicum (3 strips)</t>
  </si>
  <si>
    <t>Carrots</t>
  </si>
  <si>
    <t>Cucumbers (3 slices)</t>
  </si>
  <si>
    <t>Jalapeno Peppers (3 rings)</t>
  </si>
  <si>
    <t>Lettuce</t>
  </si>
  <si>
    <t>Onions</t>
  </si>
  <si>
    <t>Olives (3 rings)</t>
  </si>
  <si>
    <t>Pickles (3 wheels)</t>
  </si>
  <si>
    <t>Spinach</t>
  </si>
  <si>
    <t>Tomatoes (3 wheels)</t>
  </si>
  <si>
    <t>Pepper</t>
  </si>
  <si>
    <t>Salt</t>
  </si>
  <si>
    <t>Smoothies</t>
  </si>
  <si>
    <t>Blueberry and Mango</t>
  </si>
  <si>
    <t>Strawberry</t>
  </si>
  <si>
    <t>Tropical</t>
  </si>
  <si>
    <t>Pulled Pork (amount on a Subway 6-Inch® Sub)</t>
  </si>
  <si>
    <t>Sheet 2</t>
  </si>
  <si>
    <t>Values include lettuce, onions, pickles, carrots, BBQ sauce on italian herb &amp; cheese bread</t>
  </si>
  <si>
    <t>Promotional Items</t>
  </si>
  <si>
    <t>Values include lettuce, onions, jalapeno peppers, carrots, spicy mayonnaise, sliced cheddar-style cheese on white bread</t>
  </si>
  <si>
    <t xml:space="preserve">Seasonings </t>
  </si>
  <si>
    <t>Vegetables</t>
  </si>
  <si>
    <t xml:space="preserve">Cheeses </t>
  </si>
  <si>
    <t>Sauces &amp; Dressings</t>
  </si>
  <si>
    <t>Meat, Poultry, Egg, Seafood &amp; Vegetarian (add-ons)</t>
  </si>
  <si>
    <t>6-inch</t>
  </si>
  <si>
    <t>Wrap</t>
  </si>
  <si>
    <t>Mini</t>
  </si>
  <si>
    <t>Veggies - Individual</t>
  </si>
  <si>
    <t>Capsicum</t>
  </si>
  <si>
    <t>Jalapeno Peppers</t>
  </si>
  <si>
    <t>Olives</t>
  </si>
  <si>
    <t>Pickles</t>
  </si>
  <si>
    <t>Tomatoes</t>
  </si>
  <si>
    <t>Pineapple</t>
  </si>
  <si>
    <t>Serving Count</t>
  </si>
  <si>
    <t>Serving Units</t>
  </si>
  <si>
    <t>Strips</t>
  </si>
  <si>
    <t>Slices</t>
  </si>
  <si>
    <t>Rings</t>
  </si>
  <si>
    <t>Wheels</t>
  </si>
  <si>
    <t>Strip</t>
  </si>
  <si>
    <t>Slice</t>
  </si>
  <si>
    <t>Ring</t>
  </si>
  <si>
    <t>Wheel</t>
  </si>
  <si>
    <t>Cheese</t>
  </si>
  <si>
    <t>Cheddar-Style Cheese</t>
  </si>
  <si>
    <t>Old English-Style Cheese</t>
  </si>
  <si>
    <t>Toppings</t>
  </si>
  <si>
    <t>BBQ Pulled Pork</t>
  </si>
  <si>
    <t>BBQ Pulled Pork with Bacon</t>
  </si>
  <si>
    <t>Pulled Pork</t>
  </si>
  <si>
    <t>White Bread</t>
  </si>
  <si>
    <t>Wheat Bread</t>
  </si>
  <si>
    <t>Malted Rye Bread</t>
  </si>
  <si>
    <t>Italian Herbs &amp; Cheese Bread</t>
  </si>
  <si>
    <t>Roasted Garlic Bread</t>
  </si>
  <si>
    <t>Flour</t>
  </si>
  <si>
    <t>Gluten Free</t>
  </si>
  <si>
    <t>Cucumbers</t>
  </si>
  <si>
    <t>12-inch</t>
  </si>
  <si>
    <t>Beetroot</t>
  </si>
  <si>
    <t>SUM</t>
  </si>
  <si>
    <t>Bread size?</t>
  </si>
  <si>
    <t>Meat?</t>
  </si>
  <si>
    <t>Vegetables?</t>
  </si>
  <si>
    <t>Vegetables selected</t>
  </si>
  <si>
    <t>TRUE / FALSE</t>
  </si>
  <si>
    <t>Cheese selected</t>
  </si>
  <si>
    <t>Toppings?</t>
  </si>
  <si>
    <t>Cheese?</t>
  </si>
  <si>
    <t>Dressing?</t>
  </si>
  <si>
    <t>Toppings selected</t>
  </si>
  <si>
    <t>Checkbox selection</t>
  </si>
  <si>
    <t>Meat</t>
  </si>
  <si>
    <t>Selected items</t>
  </si>
  <si>
    <t>Bread size</t>
  </si>
  <si>
    <t>Bread type</t>
  </si>
  <si>
    <t>Meat (6-inch / Wrap)</t>
  </si>
  <si>
    <t>ㅤ</t>
  </si>
  <si>
    <t>How many?</t>
  </si>
  <si>
    <t>(optional)</t>
  </si>
  <si>
    <t>Servings</t>
  </si>
  <si>
    <t>TOTAL</t>
  </si>
  <si>
    <t>Toppings (6-inch / Wrap)</t>
  </si>
  <si>
    <t>Dressings selected</t>
  </si>
  <si>
    <t>Dressings</t>
  </si>
  <si>
    <t>Cheese (6-inch / Wrap)</t>
  </si>
  <si>
    <t>Cheese (Individual)</t>
  </si>
  <si>
    <t>6-inch / 12-inch</t>
  </si>
  <si>
    <t>Toppings (Meat)</t>
  </si>
  <si>
    <t>Column1</t>
  </si>
  <si>
    <t>Column2</t>
  </si>
  <si>
    <t>Column3</t>
  </si>
  <si>
    <t>Column4</t>
  </si>
  <si>
    <t>Column5</t>
  </si>
  <si>
    <t>Column6</t>
  </si>
  <si>
    <t>Column7</t>
  </si>
  <si>
    <t>Column8</t>
  </si>
  <si>
    <t>Column9</t>
  </si>
  <si>
    <t>Column10</t>
  </si>
  <si>
    <t>Column11</t>
  </si>
  <si>
    <t>Column12</t>
  </si>
  <si>
    <t>Column13</t>
  </si>
  <si>
    <t>Size</t>
  </si>
  <si>
    <t>Seasonings</t>
  </si>
  <si>
    <t>Copy board</t>
  </si>
  <si>
    <t/>
  </si>
  <si>
    <t>Seasonings selected</t>
  </si>
  <si>
    <t>SANDWICH FORM</t>
  </si>
  <si>
    <t>SIDES FORM</t>
  </si>
  <si>
    <t>Chocolate Chip Cookie with M&amp;M'S</t>
  </si>
  <si>
    <t>Danish?</t>
  </si>
  <si>
    <t>Smoothie?</t>
  </si>
  <si>
    <t>Cookie?</t>
  </si>
  <si>
    <t>Puree?</t>
  </si>
  <si>
    <t>Snacks?</t>
  </si>
  <si>
    <t>Danishes</t>
  </si>
  <si>
    <t>Purees</t>
  </si>
  <si>
    <t>Cookies selected</t>
  </si>
  <si>
    <t>Snacks selected</t>
  </si>
  <si>
    <t>Danishes selected</t>
  </si>
  <si>
    <t>Purees selected</t>
  </si>
  <si>
    <t>Smoothies selected</t>
  </si>
  <si>
    <t>SUMMARY</t>
  </si>
  <si>
    <t>Toppings (BBQ Pulled Pork )</t>
  </si>
  <si>
    <t>Toppings (BBQ Pulled Pork with Bacon)</t>
  </si>
  <si>
    <t>Dressings (6-inch / Wrap)</t>
  </si>
  <si>
    <t>Seasonings (6-inch / Wrap)</t>
  </si>
  <si>
    <t>Seasonings?</t>
  </si>
  <si>
    <t>Vegetables (6-inch/Wrap)</t>
  </si>
  <si>
    <t>Baked Goods</t>
  </si>
  <si>
    <t>Sandwich</t>
  </si>
  <si>
    <t>Total</t>
  </si>
  <si>
    <t>Side</t>
  </si>
  <si>
    <t>Count</t>
  </si>
  <si>
    <t>Toppings (Breakfast)</t>
  </si>
  <si>
    <t>Breakfast                                                                                                              Values include white bread, spinach, tomatoes, onions and capsicum</t>
  </si>
  <si>
    <t>Multiplier</t>
  </si>
  <si>
    <t>Bread types</t>
  </si>
  <si>
    <t>Bread type?</t>
  </si>
  <si>
    <t>MEAL</t>
  </si>
  <si>
    <t>Cheddar</t>
  </si>
  <si>
    <t>Toppings (Melt)</t>
  </si>
  <si>
    <t>Chicken and Bacon Ranch Melt</t>
  </si>
  <si>
    <t>Bacon and Egg</t>
  </si>
  <si>
    <t>Meatball Melt</t>
  </si>
  <si>
    <t>Pizza Melt</t>
  </si>
  <si>
    <t>Steak Melt</t>
  </si>
  <si>
    <t>Egg and Cheese</t>
  </si>
  <si>
    <t>Ham, Egg and Cheese</t>
  </si>
  <si>
    <t>Italian B.M.T.®</t>
  </si>
  <si>
    <t>Steak, Egg and Cheese</t>
  </si>
  <si>
    <t>Tuna &amp; Mayo</t>
  </si>
  <si>
    <t>Values include white bread, spinach, tomatoes, onions and capsicum (and cheddar cheese)</t>
  </si>
  <si>
    <t>Avocado Toastie</t>
  </si>
  <si>
    <t>Cheesy Garlic Toastie</t>
  </si>
  <si>
    <t>Chipotle Quesadilla</t>
  </si>
  <si>
    <t>Garlic &amp; Herb Toastie</t>
  </si>
  <si>
    <t>Ham, Cheese &amp; Tomato Jaffle</t>
  </si>
  <si>
    <t>Meatball Mozza Pot</t>
  </si>
  <si>
    <t>Bacon, Streaky</t>
  </si>
  <si>
    <t>Mozzarella Cheese</t>
  </si>
  <si>
    <t>Cheddar-Style Cheese (2 slices)</t>
  </si>
  <si>
    <t>Old English-Style Cheese (2 slices)</t>
  </si>
  <si>
    <t>=VLOOKUP(MeatT[@[Meat (6-inch / Wrap)]:[Meat (6-inch / Wrap)]], 'Cleaned sheet 2'!$A$74:$K$78, B1, FALSE) - B$48</t>
  </si>
  <si>
    <t>=VLOOKUP(MeatT[@[Meat (6-inch / Wrap)]:[Meat (6-inch / Wrap)]], 'Cleaned sheet 1'!$A$1:$K$46, B1, FALSE) - B$39</t>
  </si>
  <si>
    <t>=VLOOKUP(MeatT[@[Meat (6-inch / Wrap)]:[Meat (6-inch / Wrap)]], 'Cleaned sheet 2'!$A$74:$K$78, B1, FALSE) - B$58</t>
  </si>
  <si>
    <t>=VLOOKUP(MeatT[@[Meat (6-inch / Wrap)]:[Meat (6-inch / Wrap)]], 'Cleaned sheet 1'!$A$1:$K$46, B1, FALSE) - B$67</t>
  </si>
  <si>
    <t>=VLOOKUP(MeatT[@[Meat (6-inch / Wrap)]:[Meat (6-inch / Wrap)]], 'Cleaned sheet 1'!$A$1:$K$46,B1, FALSE) - B$39</t>
  </si>
  <si>
    <t>=VLOOKUP(MeatT[@[Meat (6-inch / Wrap)]:[Meat (6-inch / Wrap)]], 'Cleaned sheet 1'!$A$1:$K$46, B1, FALSE) - B$39 - B$71</t>
  </si>
  <si>
    <t>=VLOOKUP(MeatT[@[Meat (6-inch / Wrap)]:[Meat (6-inch / Wrap)]], 'Cleaned sheet 1'!$A$1:$K$46,B1, FALSE) - B$39 - B$71</t>
  </si>
  <si>
    <t>=VLOOKUP(MeatT[@[Meat (6-inch / Wrap)]:[Meat (6-inch / Wrap)]], 'Cleaned sheet 2'!$A$74:$K$78, B1, FALSE)</t>
  </si>
  <si>
    <t>Wattie's Fruit Squirtz, Apple &amp; Blackcurrant</t>
  </si>
  <si>
    <t>Wattie's Fruit Squirtz, Apple &amp; Peach</t>
  </si>
  <si>
    <t>Wattie's Fruit Squirtz, Apple &amp; Strawberry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</si>
</sst>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2" x14ac:knownFonts="1">
    <font>
      <sz val="10"/>
      <color rgb="FF000000"/>
      <name val="Times New Roman"/>
      <charset val="204"/>
    </font>
    <font>
      <sz val="9.5"/>
      <name val="Verdana"/>
      <family val="2"/>
    </font>
    <font>
      <sz val="7.5"/>
      <name val="Arial"/>
      <family val="2"/>
    </font>
    <font>
      <sz val="7.5"/>
      <color rgb="FF000000"/>
      <name val="Arial"/>
      <family val="2"/>
    </font>
    <font>
      <sz val="7.5"/>
      <color rgb="FFFFFFFF"/>
      <name val="Arial"/>
      <family val="2"/>
    </font>
    <font>
      <i/>
      <sz val="7.5"/>
      <name val="Arial"/>
      <family val="2"/>
    </font>
    <font>
      <vertAlign val="superscript"/>
      <sz val="7.5"/>
      <color rgb="FFFFFFFF"/>
      <name val="Arial"/>
      <family val="2"/>
    </font>
    <font>
      <sz val="5.5"/>
      <color rgb="FF008938"/>
      <name val="Arial"/>
      <family val="2"/>
    </font>
    <font>
      <sz val="12"/>
      <color rgb="FF000000"/>
      <name val="Calibri"/>
      <family val="2"/>
      <scheme val="minor"/>
    </font>
    <font>
      <sz val="12"/>
      <color theme="1"/>
      <name val="Calibri"/>
      <family val="2"/>
      <scheme val="minor"/>
    </font>
    <font>
      <i/>
      <sz val="12"/>
      <color theme="1"/>
      <name val="Calibri"/>
      <family val="2"/>
      <scheme val="minor"/>
    </font>
    <font>
      <b/>
      <sz val="12"/>
      <color theme="1"/>
      <name val="Calibri"/>
      <family val="2"/>
      <scheme val="minor"/>
    </font>
    <font>
      <sz val="12"/>
      <color theme="0"/>
      <name val="Calibri"/>
      <family val="2"/>
      <scheme val="minor"/>
    </font>
    <font>
      <b/>
      <sz val="12"/>
      <color theme="0"/>
      <name val="Calibri"/>
      <family val="2"/>
      <scheme val="minor"/>
    </font>
    <font>
      <b/>
      <sz val="12"/>
      <color rgb="FF000000"/>
      <name val="Calibri"/>
      <family val="2"/>
      <scheme val="minor"/>
    </font>
    <font>
      <i/>
      <sz val="12"/>
      <color rgb="FF000000"/>
      <name val="Calibri"/>
      <family val="2"/>
      <scheme val="minor"/>
    </font>
    <font>
      <sz val="8"/>
      <name val="Times New Roman"/>
      <family val="1"/>
    </font>
    <font>
      <b/>
      <sz val="16"/>
      <color theme="0"/>
      <name val="Calibri"/>
      <family val="2"/>
      <scheme val="minor"/>
    </font>
    <font>
      <b/>
      <sz val="16"/>
      <color rgb="FF000000"/>
      <name val="Calibri"/>
      <family val="2"/>
      <scheme val="minor"/>
    </font>
    <font>
      <sz val="16"/>
      <color rgb="FF000000"/>
      <name val="Calibri"/>
      <family val="2"/>
      <scheme val="minor"/>
    </font>
    <font>
      <sz val="16"/>
      <color rgb="FF000000"/>
      <name val="Times New Roman"/>
      <family val="1"/>
    </font>
    <font>
      <sz val="16"/>
      <color theme="0"/>
      <name val="Calibri"/>
      <family val="2"/>
      <scheme val="minor"/>
    </font>
    <font>
      <sz val="16"/>
      <color theme="1"/>
      <name val="Calibri"/>
      <family val="2"/>
      <scheme val="minor"/>
    </font>
    <font>
      <sz val="22"/>
      <color rgb="FF000000"/>
      <name val="Calibri"/>
      <family val="2"/>
      <scheme val="minor"/>
    </font>
    <font>
      <sz val="22"/>
      <color rgb="FF000000"/>
      <name val="Times New Roman"/>
      <family val="1"/>
    </font>
    <font>
      <b/>
      <sz val="22"/>
      <color rgb="FF000000"/>
      <name val="Calibri"/>
      <family val="2"/>
      <scheme val="minor"/>
    </font>
    <font>
      <i/>
      <sz val="22"/>
      <color rgb="FF000000"/>
      <name val="Calibri"/>
      <family val="2"/>
      <scheme val="minor"/>
    </font>
    <font>
      <b/>
      <sz val="22"/>
      <color theme="1"/>
      <name val="Calibri"/>
      <family val="2"/>
      <scheme val="minor"/>
    </font>
    <font>
      <sz val="22"/>
      <color theme="1"/>
      <name val="Calibri"/>
      <family val="2"/>
      <scheme val="minor"/>
    </font>
    <font>
      <b/>
      <sz val="36"/>
      <color rgb="FF000000"/>
      <name val="Calibri"/>
      <family val="2"/>
      <scheme val="minor"/>
    </font>
    <font>
      <b/>
      <sz val="22"/>
      <color theme="2"/>
      <name val="Calibri"/>
      <family val="2"/>
      <scheme val="minor"/>
    </font>
    <font>
      <sz val="22"/>
      <color theme="2"/>
      <name val="Calibri"/>
      <family val="2"/>
      <scheme val="minor"/>
    </font>
    <font>
      <sz val="10"/>
      <color rgb="FF000000"/>
      <name val="Times New Roman"/>
      <family val="1"/>
    </font>
    <font>
      <b/>
      <sz val="10"/>
      <color theme="0"/>
      <name val="Calibri"/>
      <family val="2"/>
      <scheme val="minor"/>
    </font>
    <font>
      <sz val="10"/>
      <color theme="0"/>
      <name val="Times New Roman"/>
      <family val="1"/>
    </font>
    <font>
      <b/>
      <sz val="10"/>
      <color rgb="FF000000"/>
      <name val="Calibri"/>
      <family val="2"/>
      <scheme val="minor"/>
    </font>
    <font>
      <sz val="10"/>
      <color rgb="FF000000"/>
      <name val="Calibri"/>
      <family val="2"/>
      <scheme val="minor"/>
    </font>
    <font>
      <u/>
      <sz val="10"/>
      <color rgb="FF000000"/>
      <name val="Times New Roman"/>
      <family val="1"/>
    </font>
    <font>
      <b/>
      <sz val="10"/>
      <color theme="1"/>
      <name val="Calibri"/>
      <family val="2"/>
      <scheme val="minor"/>
    </font>
    <font>
      <sz val="10"/>
      <color theme="1"/>
      <name val="Calibri"/>
      <family val="2"/>
      <scheme val="minor"/>
    </font>
    <font>
      <i/>
      <sz val="10"/>
      <color rgb="FF000000"/>
      <name val="Calibri"/>
      <family val="2"/>
      <scheme val="minor"/>
    </font>
    <font>
      <b/>
      <i/>
      <sz val="10"/>
      <color rgb="FF000000"/>
      <name val="Calibri"/>
      <family val="2"/>
      <scheme val="minor"/>
    </font>
    <font>
      <sz val="10"/>
      <color rgb="FF000000"/>
      <name val="Calibri"/>
      <family val="2"/>
    </font>
    <font>
      <b/>
      <sz val="18"/>
      <color theme="0"/>
      <name val="Calibri"/>
      <family val="2"/>
      <scheme val="minor"/>
    </font>
    <font>
      <sz val="18"/>
      <color rgb="FF000000"/>
      <name val="Times New Roman"/>
      <family val="1"/>
    </font>
    <font>
      <sz val="10"/>
      <color theme="0"/>
      <name val="Calibri"/>
      <family val="2"/>
      <scheme val="minor"/>
    </font>
    <font>
      <i/>
      <sz val="10"/>
      <color rgb="FF000000"/>
      <name val="Times New Roman"/>
      <family val="1"/>
    </font>
    <font>
      <sz val="10"/>
      <color rgb="FFFF0000"/>
      <name val="Times New Roman"/>
      <family val="1"/>
    </font>
    <font>
      <b/>
      <sz val="14"/>
      <color theme="1"/>
      <name val="Calibri"/>
      <family val="2"/>
      <scheme val="minor"/>
    </font>
    <font>
      <b/>
      <sz val="14"/>
      <color rgb="FF000000"/>
      <name val="Calibri"/>
      <family val="2"/>
      <scheme val="minor"/>
    </font>
    <font>
      <b/>
      <sz val="28"/>
      <color theme="0"/>
      <name val="Calibri"/>
      <family val="2"/>
      <scheme val="minor"/>
    </font>
    <font>
      <sz val="9"/>
      <color indexed="81"/>
      <name val="Tahoma"/>
      <charset val="1"/>
    </font>
  </fonts>
  <fills count="25">
    <fill>
      <patternFill patternType="none"/>
    </fill>
    <fill>
      <patternFill patternType="gray125"/>
    </fill>
    <fill>
      <patternFill patternType="solid">
        <fgColor rgb="FFE2EFDA"/>
      </patternFill>
    </fill>
    <fill>
      <patternFill patternType="solid">
        <fgColor rgb="FF008938"/>
      </patternFill>
    </fill>
    <fill>
      <patternFill patternType="solid">
        <fgColor theme="8" tint="0.79998168889431442"/>
        <bgColor indexed="64"/>
      </patternFill>
    </fill>
    <fill>
      <patternFill patternType="solid">
        <fgColor theme="3" tint="-0.249977111117893"/>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7"/>
        <bgColor theme="7"/>
      </patternFill>
    </fill>
    <fill>
      <patternFill patternType="solid">
        <fgColor theme="7" tint="0.79998168889431442"/>
        <bgColor theme="7" tint="0.79998168889431442"/>
      </patternFill>
    </fill>
    <fill>
      <patternFill patternType="solid">
        <fgColor theme="6"/>
        <bgColor theme="6"/>
      </patternFill>
    </fill>
    <fill>
      <patternFill patternType="solid">
        <fgColor theme="6" tint="0.79998168889431442"/>
        <bgColor theme="6" tint="0.79998168889431442"/>
      </patternFill>
    </fill>
    <fill>
      <patternFill patternType="solid">
        <fgColor theme="0"/>
        <bgColor indexed="64"/>
      </patternFill>
    </fill>
    <fill>
      <patternFill patternType="solid">
        <fgColor theme="7" tint="0.39997558519241921"/>
        <bgColor indexed="64"/>
      </patternFill>
    </fill>
    <fill>
      <patternFill patternType="solid">
        <fgColor rgb="FFD3E2F5"/>
        <bgColor indexed="64"/>
      </patternFill>
    </fill>
  </fills>
  <borders count="145">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theme="7" tint="0.39997558519241921"/>
      </top>
      <bottom/>
      <diagonal/>
    </border>
    <border>
      <left/>
      <right/>
      <top style="thin">
        <color indexed="64"/>
      </top>
      <bottom/>
      <diagonal/>
    </border>
    <border>
      <left/>
      <right/>
      <top/>
      <bottom style="thin">
        <color indexed="64"/>
      </bottom>
      <diagonal/>
    </border>
    <border>
      <left/>
      <right/>
      <top style="thin">
        <color theme="6" tint="0.39997558519241921"/>
      </top>
      <bottom style="thin">
        <color theme="6" tint="0.39997558519241921"/>
      </bottom>
      <diagonal/>
    </border>
    <border>
      <left/>
      <right/>
      <top/>
      <bottom style="thin">
        <color theme="6" tint="0.39997558519241921"/>
      </bottom>
      <diagonal/>
    </border>
    <border>
      <left/>
      <right/>
      <top style="thin">
        <color theme="6" tint="0.3999755851924192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theme="3" tint="0.39997558519241921"/>
      </right>
      <top style="thin">
        <color theme="3" tint="0.39997558519241921"/>
      </top>
      <bottom style="thin">
        <color theme="3" tint="0.39997558519241921"/>
      </bottom>
      <diagonal/>
    </border>
    <border>
      <left/>
      <right style="thin">
        <color rgb="FF4174B1"/>
      </right>
      <top style="thin">
        <color rgb="FF4174B1"/>
      </top>
      <bottom style="thin">
        <color rgb="FF4174B1"/>
      </bottom>
      <diagonal/>
    </border>
    <border>
      <left/>
      <right style="thin">
        <color rgb="FF4174B1"/>
      </right>
      <top/>
      <bottom style="thin">
        <color rgb="FF4174B1"/>
      </bottom>
      <diagonal/>
    </border>
    <border>
      <left style="medium">
        <color theme="3" tint="0.39997558519241921"/>
      </left>
      <right/>
      <top/>
      <bottom style="medium">
        <color theme="3" tint="0.39997558519241921"/>
      </bottom>
      <diagonal/>
    </border>
    <border>
      <left/>
      <right/>
      <top/>
      <bottom style="medium">
        <color theme="3" tint="0.39997558519241921"/>
      </bottom>
      <diagonal/>
    </border>
    <border>
      <left style="medium">
        <color theme="3" tint="0.39997558519241921"/>
      </left>
      <right/>
      <top style="thin">
        <color theme="3" tint="0.39997558519241921"/>
      </top>
      <bottom style="thin">
        <color theme="3" tint="0.39997558519241921"/>
      </bottom>
      <diagonal/>
    </border>
    <border>
      <left style="medium">
        <color theme="3" tint="0.39997558519241921"/>
      </left>
      <right/>
      <top style="thin">
        <color theme="3" tint="0.39997558519241921"/>
      </top>
      <bottom/>
      <diagonal/>
    </border>
    <border>
      <left style="medium">
        <color theme="3" tint="0.39997558519241921"/>
      </left>
      <right/>
      <top style="medium">
        <color theme="3" tint="0.39997558519241921"/>
      </top>
      <bottom/>
      <diagonal/>
    </border>
    <border>
      <left/>
      <right/>
      <top style="thin">
        <color theme="3" tint="0.39997558519241921"/>
      </top>
      <bottom style="thin">
        <color theme="3" tint="0.39997558519241921"/>
      </bottom>
      <diagonal/>
    </border>
    <border>
      <left/>
      <right/>
      <top style="thin">
        <color theme="3" tint="0.39997558519241921"/>
      </top>
      <bottom/>
      <diagonal/>
    </border>
    <border>
      <left/>
      <right style="medium">
        <color theme="3" tint="0.39997558519241921"/>
      </right>
      <top/>
      <bottom/>
      <diagonal/>
    </border>
    <border>
      <left/>
      <right/>
      <top/>
      <bottom style="thin">
        <color theme="3" tint="0.39997558519241921"/>
      </bottom>
      <diagonal/>
    </border>
    <border>
      <left/>
      <right style="thin">
        <color rgb="FF4174B1"/>
      </right>
      <top style="thin">
        <color theme="3" tint="0.39997558519241921"/>
      </top>
      <bottom style="thin">
        <color theme="3" tint="0.39997558519241921"/>
      </bottom>
      <diagonal/>
    </border>
    <border>
      <left style="medium">
        <color theme="3" tint="0.39997558519241921"/>
      </left>
      <right/>
      <top style="medium">
        <color theme="3" tint="0.39997558519241921"/>
      </top>
      <bottom style="thin">
        <color theme="3" tint="0.39997558519241921"/>
      </bottom>
      <diagonal/>
    </border>
    <border>
      <left style="medium">
        <color theme="3" tint="0.39997558519241921"/>
      </left>
      <right/>
      <top/>
      <bottom style="thin">
        <color theme="3" tint="0.39997558519241921"/>
      </bottom>
      <diagonal/>
    </border>
    <border>
      <left style="medium">
        <color theme="3" tint="0.39997558519241921"/>
      </left>
      <right/>
      <top style="thin">
        <color theme="3" tint="0.39997558519241921"/>
      </top>
      <bottom style="medium">
        <color theme="3" tint="0.39997558519241921"/>
      </bottom>
      <diagonal/>
    </border>
    <border>
      <left/>
      <right style="thin">
        <color theme="3" tint="0.39997558519241921"/>
      </right>
      <top style="thin">
        <color theme="3" tint="0.39997558519241921"/>
      </top>
      <bottom style="medium">
        <color theme="3" tint="0.39997558519241921"/>
      </bottom>
      <diagonal/>
    </border>
    <border>
      <left/>
      <right style="thin">
        <color theme="3" tint="0.39997558519241921"/>
      </right>
      <top style="medium">
        <color theme="3" tint="0.39997558519241921"/>
      </top>
      <bottom style="thin">
        <color theme="3" tint="0.39997558519241921"/>
      </bottom>
      <diagonal/>
    </border>
    <border>
      <left/>
      <right style="medium">
        <color theme="3" tint="0.39997558519241921"/>
      </right>
      <top style="medium">
        <color theme="3" tint="0.39997558519241921"/>
      </top>
      <bottom/>
      <diagonal/>
    </border>
    <border>
      <left style="thin">
        <color theme="3" tint="0.39997558519241921"/>
      </left>
      <right style="medium">
        <color theme="3" tint="0.39997558519241921"/>
      </right>
      <top style="thin">
        <color theme="3" tint="0.39997558519241921"/>
      </top>
      <bottom style="thin">
        <color theme="3" tint="0.39997558519241921"/>
      </bottom>
      <diagonal/>
    </border>
    <border>
      <left style="thin">
        <color theme="3" tint="0.39997558519241921"/>
      </left>
      <right style="medium">
        <color theme="3" tint="0.39997558519241921"/>
      </right>
      <top/>
      <bottom style="medium">
        <color theme="3" tint="0.39997558519241921"/>
      </bottom>
      <diagonal/>
    </border>
    <border>
      <left style="medium">
        <color theme="3" tint="0.39997558519241921"/>
      </left>
      <right/>
      <top/>
      <bottom/>
      <diagonal/>
    </border>
    <border>
      <left/>
      <right style="medium">
        <color theme="3" tint="0.39997558519241921"/>
      </right>
      <top/>
      <bottom style="medium">
        <color theme="3" tint="0.39997558519241921"/>
      </bottom>
      <diagonal/>
    </border>
    <border>
      <left/>
      <right style="thin">
        <color theme="3" tint="0.39997558519241921"/>
      </right>
      <top style="medium">
        <color theme="3" tint="0.39997558519241921"/>
      </top>
      <bottom/>
      <diagonal/>
    </border>
    <border>
      <left style="thin">
        <color rgb="FF4174B1"/>
      </left>
      <right style="medium">
        <color theme="3" tint="0.39997558519241921"/>
      </right>
      <top style="thin">
        <color theme="3" tint="0.39997558519241921"/>
      </top>
      <bottom style="thin">
        <color theme="3" tint="0.39997558519241921"/>
      </bottom>
      <diagonal/>
    </border>
    <border>
      <left/>
      <right style="thin">
        <color rgb="FF4174B1"/>
      </right>
      <top/>
      <bottom style="medium">
        <color theme="3" tint="0.39997558519241921"/>
      </bottom>
      <diagonal/>
    </border>
    <border>
      <left style="thin">
        <color rgb="FF4174B1"/>
      </left>
      <right style="medium">
        <color theme="3" tint="0.39997558519241921"/>
      </right>
      <top/>
      <bottom style="medium">
        <color theme="3" tint="0.39997558519241921"/>
      </bottom>
      <diagonal/>
    </border>
    <border>
      <left/>
      <right style="medium">
        <color theme="3" tint="0.39997558519241921"/>
      </right>
      <top style="thin">
        <color rgb="FF4174B1"/>
      </top>
      <bottom style="thin">
        <color rgb="FF4174B1"/>
      </bottom>
      <diagonal/>
    </border>
    <border>
      <left/>
      <right style="medium">
        <color theme="3" tint="0.39997558519241921"/>
      </right>
      <top style="thin">
        <color rgb="FF4174B1"/>
      </top>
      <bottom style="medium">
        <color theme="3" tint="0.39997558519241921"/>
      </bottom>
      <diagonal/>
    </border>
    <border>
      <left style="thin">
        <color theme="8" tint="-0.499984740745262"/>
      </left>
      <right style="medium">
        <color theme="3" tint="0.39997558519241921"/>
      </right>
      <top style="medium">
        <color theme="3" tint="0.39997558519241921"/>
      </top>
      <bottom style="thin">
        <color rgb="FF4174B1"/>
      </bottom>
      <diagonal/>
    </border>
    <border>
      <left style="medium">
        <color theme="3" tint="0.39997558519241921"/>
      </left>
      <right style="thin">
        <color rgb="FF4174B1"/>
      </right>
      <top style="medium">
        <color theme="3" tint="0.39997558519241921"/>
      </top>
      <bottom style="medium">
        <color theme="3" tint="0.39997558519241921"/>
      </bottom>
      <diagonal/>
    </border>
    <border>
      <left style="thin">
        <color rgb="FF4174B1"/>
      </left>
      <right style="medium">
        <color theme="3" tint="0.39997558519241921"/>
      </right>
      <top style="medium">
        <color theme="3" tint="0.39997558519241921"/>
      </top>
      <bottom style="medium">
        <color theme="3" tint="0.39997558519241921"/>
      </bottom>
      <diagonal/>
    </border>
    <border>
      <left/>
      <right style="medium">
        <color theme="3" tint="0.39997558519241921"/>
      </right>
      <top style="medium">
        <color theme="3" tint="0.39997558519241921"/>
      </top>
      <bottom style="thin">
        <color theme="3" tint="0.39997558519241921"/>
      </bottom>
      <diagonal/>
    </border>
    <border>
      <left/>
      <right style="medium">
        <color theme="3" tint="0.39997558519241921"/>
      </right>
      <top style="thin">
        <color theme="3" tint="0.39997558519241921"/>
      </top>
      <bottom style="thin">
        <color theme="3" tint="0.39997558519241921"/>
      </bottom>
      <diagonal/>
    </border>
    <border>
      <left/>
      <right style="thin">
        <color rgb="FF4174B1"/>
      </right>
      <top style="thin">
        <color rgb="FF4174B1"/>
      </top>
      <bottom style="medium">
        <color theme="3" tint="0.39997558519241921"/>
      </bottom>
      <diagonal/>
    </border>
    <border>
      <left/>
      <right style="thin">
        <color theme="8" tint="-0.499984740745262"/>
      </right>
      <top style="medium">
        <color theme="3" tint="0.39997558519241921"/>
      </top>
      <bottom/>
      <diagonal/>
    </border>
    <border>
      <left/>
      <right style="medium">
        <color theme="3" tint="0.39997558519241921"/>
      </right>
      <top style="thin">
        <color theme="3" tint="0.39997558519241921"/>
      </top>
      <bottom/>
      <diagonal/>
    </border>
    <border>
      <left/>
      <right style="medium">
        <color theme="3" tint="0.39997558519241921"/>
      </right>
      <top/>
      <bottom style="thin">
        <color theme="3" tint="0.39997558519241921"/>
      </bottom>
      <diagonal/>
    </border>
    <border>
      <left style="medium">
        <color theme="3" tint="0.39997558519241921"/>
      </left>
      <right/>
      <top style="thin">
        <color theme="3" tint="0.39997558519241921"/>
      </top>
      <bottom style="thin">
        <color rgb="FF4174B1"/>
      </bottom>
      <diagonal/>
    </border>
    <border>
      <left/>
      <right style="medium">
        <color theme="3" tint="0.39997558519241921"/>
      </right>
      <top style="thin">
        <color theme="3" tint="0.39997558519241921"/>
      </top>
      <bottom style="thin">
        <color rgb="FF4174B1"/>
      </bottom>
      <diagonal/>
    </border>
    <border>
      <left style="medium">
        <color theme="3" tint="0.39997558519241921"/>
      </left>
      <right/>
      <top style="thin">
        <color rgb="FF4174B1"/>
      </top>
      <bottom style="thin">
        <color theme="3" tint="0.39997558519241921"/>
      </bottom>
      <diagonal/>
    </border>
    <border>
      <left/>
      <right style="medium">
        <color theme="3" tint="0.39997558519241921"/>
      </right>
      <top style="thin">
        <color rgb="FF4174B1"/>
      </top>
      <bottom style="thin">
        <color theme="3" tint="0.39997558519241921"/>
      </bottom>
      <diagonal/>
    </border>
    <border>
      <left/>
      <right style="medium">
        <color theme="3" tint="0.39997558519241921"/>
      </right>
      <top style="thin">
        <color theme="3" tint="0.39997558519241921"/>
      </top>
      <bottom style="medium">
        <color theme="3" tint="0.39997558519241921"/>
      </bottom>
      <diagonal/>
    </border>
    <border>
      <left style="medium">
        <color theme="3" tint="0.39997558519241921"/>
      </left>
      <right style="thin">
        <color indexed="64"/>
      </right>
      <top style="medium">
        <color theme="3" tint="0.39997558519241921"/>
      </top>
      <bottom style="medium">
        <color theme="3" tint="0.39997558519241921"/>
      </bottom>
      <diagonal/>
    </border>
    <border>
      <left style="thin">
        <color indexed="64"/>
      </left>
      <right style="thin">
        <color indexed="64"/>
      </right>
      <top style="medium">
        <color theme="3" tint="0.39997558519241921"/>
      </top>
      <bottom style="medium">
        <color theme="3" tint="0.39997558519241921"/>
      </bottom>
      <diagonal/>
    </border>
    <border>
      <left style="thin">
        <color indexed="64"/>
      </left>
      <right style="medium">
        <color theme="3" tint="0.39997558519241921"/>
      </right>
      <top style="medium">
        <color theme="3" tint="0.39997558519241921"/>
      </top>
      <bottom style="medium">
        <color theme="3" tint="0.39997558519241921"/>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theme="1"/>
      </top>
      <bottom style="thin">
        <color indexed="64"/>
      </bottom>
      <diagonal/>
    </border>
    <border>
      <left style="medium">
        <color theme="1"/>
      </left>
      <right style="thin">
        <color indexed="64"/>
      </right>
      <top/>
      <bottom style="thin">
        <color indexed="64"/>
      </bottom>
      <diagonal/>
    </border>
    <border>
      <left style="thin">
        <color indexed="64"/>
      </left>
      <right style="thin">
        <color indexed="64"/>
      </right>
      <top style="medium">
        <color theme="1"/>
      </top>
      <bottom style="medium">
        <color theme="1"/>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medium">
        <color theme="1"/>
      </bottom>
      <diagonal/>
    </border>
    <border>
      <left style="medium">
        <color theme="1"/>
      </left>
      <right style="thin">
        <color indexed="64"/>
      </right>
      <top style="medium">
        <color theme="1"/>
      </top>
      <bottom style="medium">
        <color indexed="64"/>
      </bottom>
      <diagonal/>
    </border>
    <border>
      <left style="thin">
        <color indexed="64"/>
      </left>
      <right style="thin">
        <color indexed="64"/>
      </right>
      <top style="medium">
        <color theme="1"/>
      </top>
      <bottom style="medium">
        <color indexed="64"/>
      </bottom>
      <diagonal/>
    </border>
    <border>
      <left style="thin">
        <color indexed="64"/>
      </left>
      <right style="medium">
        <color theme="1"/>
      </right>
      <top style="medium">
        <color theme="1"/>
      </top>
      <bottom style="medium">
        <color indexed="64"/>
      </bottom>
      <diagonal/>
    </border>
    <border>
      <left style="medium">
        <color theme="1"/>
      </left>
      <right style="thin">
        <color indexed="64"/>
      </right>
      <top style="thin">
        <color indexed="64"/>
      </top>
      <bottom style="medium">
        <color theme="1"/>
      </bottom>
      <diagonal/>
    </border>
    <border>
      <left style="medium">
        <color rgb="FF4174B1"/>
      </left>
      <right/>
      <top style="medium">
        <color rgb="FF4174B1"/>
      </top>
      <bottom style="thin">
        <color theme="3" tint="0.39997558519241921"/>
      </bottom>
      <diagonal/>
    </border>
    <border>
      <left/>
      <right/>
      <top style="medium">
        <color rgb="FF4174B1"/>
      </top>
      <bottom style="thin">
        <color theme="3" tint="0.39997558519241921"/>
      </bottom>
      <diagonal/>
    </border>
    <border>
      <left style="thin">
        <color theme="3" tint="0.39997558519241921"/>
      </left>
      <right style="medium">
        <color rgb="FF4174B1"/>
      </right>
      <top style="medium">
        <color rgb="FF4174B1"/>
      </top>
      <bottom/>
      <diagonal/>
    </border>
    <border>
      <left style="medium">
        <color rgb="FF4174B1"/>
      </left>
      <right/>
      <top/>
      <bottom style="thin">
        <color theme="3" tint="0.39997558519241921"/>
      </bottom>
      <diagonal/>
    </border>
    <border>
      <left style="thin">
        <color rgb="FF4174B1"/>
      </left>
      <right style="medium">
        <color rgb="FF4174B1"/>
      </right>
      <top style="thin">
        <color rgb="FF4174B1"/>
      </top>
      <bottom style="thin">
        <color rgb="FF4174B1"/>
      </bottom>
      <diagonal/>
    </border>
    <border>
      <left style="medium">
        <color rgb="FF4174B1"/>
      </left>
      <right/>
      <top style="thin">
        <color theme="3" tint="0.39997558519241921"/>
      </top>
      <bottom style="thin">
        <color theme="3" tint="0.39997558519241921"/>
      </bottom>
      <diagonal/>
    </border>
    <border>
      <left style="medium">
        <color rgb="FF4174B1"/>
      </left>
      <right/>
      <top style="thin">
        <color theme="3" tint="0.39997558519241921"/>
      </top>
      <bottom/>
      <diagonal/>
    </border>
    <border>
      <left style="thin">
        <color theme="3" tint="0.39997558519241921"/>
      </left>
      <right style="medium">
        <color rgb="FF4174B1"/>
      </right>
      <top/>
      <bottom/>
      <diagonal/>
    </border>
    <border>
      <left style="medium">
        <color rgb="FF4174B1"/>
      </left>
      <right/>
      <top style="thin">
        <color theme="3" tint="0.39997558519241921"/>
      </top>
      <bottom style="medium">
        <color rgb="FF4174B1"/>
      </bottom>
      <diagonal/>
    </border>
    <border>
      <left/>
      <right style="thin">
        <color theme="3" tint="0.39997558519241921"/>
      </right>
      <top style="thin">
        <color theme="3" tint="0.39997558519241921"/>
      </top>
      <bottom style="medium">
        <color rgb="FF4174B1"/>
      </bottom>
      <diagonal/>
    </border>
    <border>
      <left style="thin">
        <color theme="3" tint="0.39997558519241921"/>
      </left>
      <right style="medium">
        <color rgb="FF4174B1"/>
      </right>
      <top style="thin">
        <color theme="3" tint="0.39997558519241921"/>
      </top>
      <bottom style="medium">
        <color rgb="FF4174B1"/>
      </bottom>
      <diagonal/>
    </border>
    <border>
      <left/>
      <right/>
      <top style="thin">
        <color theme="0"/>
      </top>
      <bottom/>
      <diagonal/>
    </border>
    <border>
      <left/>
      <right/>
      <top/>
      <bottom style="thin">
        <color theme="0"/>
      </bottom>
      <diagonal/>
    </border>
    <border>
      <left/>
      <right/>
      <top style="thin">
        <color theme="0"/>
      </top>
      <bottom style="thin">
        <color theme="0"/>
      </bottom>
      <diagonal/>
    </border>
    <border>
      <left style="thin">
        <color theme="0"/>
      </left>
      <right/>
      <top/>
      <bottom/>
      <diagonal/>
    </border>
    <border>
      <left/>
      <right style="thin">
        <color theme="0"/>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medium">
        <color theme="1"/>
      </left>
      <right style="thin">
        <color theme="1"/>
      </right>
      <top/>
      <bottom style="thin">
        <color theme="1"/>
      </bottom>
      <diagonal/>
    </border>
    <border>
      <left style="medium">
        <color theme="1"/>
      </left>
      <right style="thin">
        <color theme="1"/>
      </right>
      <top style="thin">
        <color theme="1"/>
      </top>
      <bottom style="thin">
        <color theme="1"/>
      </bottom>
      <diagonal/>
    </border>
    <border>
      <left style="medium">
        <color theme="1"/>
      </left>
      <right style="thin">
        <color theme="1"/>
      </right>
      <top style="thin">
        <color theme="1"/>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theme="1"/>
      </top>
      <bottom style="thin">
        <color indexed="64"/>
      </bottom>
      <diagonal/>
    </border>
    <border>
      <left style="medium">
        <color indexed="64"/>
      </left>
      <right/>
      <top/>
      <bottom style="medium">
        <color theme="1"/>
      </bottom>
      <diagonal/>
    </border>
    <border>
      <left style="thin">
        <color indexed="64"/>
      </left>
      <right style="medium">
        <color indexed="64"/>
      </right>
      <top style="thin">
        <color indexed="64"/>
      </top>
      <bottom style="medium">
        <color theme="1"/>
      </bottom>
      <diagonal/>
    </border>
    <border>
      <left style="medium">
        <color indexed="64"/>
      </left>
      <right style="thick">
        <color theme="7" tint="-0.499984740745262"/>
      </right>
      <top style="medium">
        <color indexed="64"/>
      </top>
      <bottom style="medium">
        <color theme="1"/>
      </bottom>
      <diagonal/>
    </border>
    <border>
      <left style="thick">
        <color theme="7" tint="-0.499984740745262"/>
      </left>
      <right style="thick">
        <color theme="7" tint="-0.499984740745262"/>
      </right>
      <top style="medium">
        <color indexed="64"/>
      </top>
      <bottom style="medium">
        <color theme="1"/>
      </bottom>
      <diagonal/>
    </border>
    <border>
      <left style="thick">
        <color theme="7" tint="-0.499984740745262"/>
      </left>
      <right style="medium">
        <color indexed="64"/>
      </right>
      <top style="medium">
        <color indexed="64"/>
      </top>
      <bottom style="medium">
        <color theme="1"/>
      </bottom>
      <diagonal/>
    </border>
    <border>
      <left style="medium">
        <color indexed="64"/>
      </left>
      <right style="thin">
        <color indexed="64"/>
      </right>
      <top style="medium">
        <color theme="1"/>
      </top>
      <bottom style="medium">
        <color theme="1"/>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theme="1"/>
      </bottom>
      <diagonal/>
    </border>
    <border>
      <left style="medium">
        <color indexed="64"/>
      </left>
      <right/>
      <top style="medium">
        <color theme="1"/>
      </top>
      <bottom style="medium">
        <color indexed="64"/>
      </bottom>
      <diagonal/>
    </border>
    <border>
      <left/>
      <right/>
      <top style="medium">
        <color theme="1"/>
      </top>
      <bottom style="medium">
        <color indexed="64"/>
      </bottom>
      <diagonal/>
    </border>
    <border>
      <left/>
      <right style="medium">
        <color indexed="64"/>
      </right>
      <top style="medium">
        <color theme="1"/>
      </top>
      <bottom style="medium">
        <color indexed="64"/>
      </bottom>
      <diagonal/>
    </border>
    <border>
      <left style="medium">
        <color indexed="64"/>
      </left>
      <right/>
      <top/>
      <bottom/>
      <diagonal/>
    </border>
    <border>
      <left style="thin">
        <color indexed="64"/>
      </left>
      <right/>
      <top/>
      <bottom style="thin">
        <color indexed="64"/>
      </bottom>
      <diagonal/>
    </border>
    <border>
      <left style="thin">
        <color indexed="64"/>
      </left>
      <right/>
      <top style="thin">
        <color indexed="64"/>
      </top>
      <bottom style="medium">
        <color theme="1"/>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theme="1"/>
      </left>
      <right/>
      <top/>
      <bottom style="thin">
        <color theme="1"/>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s>
  <cellStyleXfs count="1">
    <xf numFmtId="0" fontId="0" fillId="0" borderId="0"/>
  </cellStyleXfs>
  <cellXfs count="417">
    <xf numFmtId="0" fontId="0" fillId="0" borderId="0" xfId="0" applyAlignment="1">
      <alignment horizontal="left" vertical="top"/>
    </xf>
    <xf numFmtId="0" fontId="1" fillId="0" borderId="1" xfId="0" applyFont="1" applyBorder="1" applyAlignment="1">
      <alignment horizontal="left" wrapText="1"/>
    </xf>
    <xf numFmtId="0" fontId="1" fillId="2" borderId="1" xfId="0" applyFont="1" applyFill="1" applyBorder="1" applyAlignment="1">
      <alignment horizontal="left" textRotation="90" wrapText="1"/>
    </xf>
    <xf numFmtId="0" fontId="1" fillId="0" borderId="1" xfId="0" applyFont="1" applyBorder="1" applyAlignment="1">
      <alignment horizontal="left" textRotation="90" wrapText="1"/>
    </xf>
    <xf numFmtId="0" fontId="2" fillId="0" borderId="1" xfId="0" applyFont="1" applyBorder="1" applyAlignment="1">
      <alignment horizontal="left" vertical="top" wrapText="1"/>
    </xf>
    <xf numFmtId="1" fontId="3" fillId="2" borderId="1" xfId="0" applyNumberFormat="1" applyFont="1" applyFill="1" applyBorder="1" applyAlignment="1">
      <alignment horizontal="right" vertical="top" shrinkToFit="1"/>
    </xf>
    <xf numFmtId="1" fontId="3" fillId="0" borderId="1" xfId="0" applyNumberFormat="1" applyFont="1" applyBorder="1" applyAlignment="1">
      <alignment horizontal="right" vertical="top" shrinkToFit="1"/>
    </xf>
    <xf numFmtId="164" fontId="3" fillId="0" borderId="1" xfId="0" applyNumberFormat="1" applyFont="1" applyBorder="1" applyAlignment="1">
      <alignment horizontal="right" vertical="top" shrinkToFit="1"/>
    </xf>
    <xf numFmtId="164" fontId="3" fillId="2" borderId="1" xfId="0" applyNumberFormat="1" applyFont="1" applyFill="1" applyBorder="1" applyAlignment="1">
      <alignment horizontal="right" vertical="top" shrinkToFit="1"/>
    </xf>
    <xf numFmtId="0" fontId="0" fillId="0" borderId="1" xfId="0" applyBorder="1" applyAlignment="1">
      <alignment horizontal="left" vertical="top" wrapText="1"/>
    </xf>
    <xf numFmtId="0" fontId="8" fillId="0" borderId="0" xfId="0" applyFont="1" applyAlignment="1">
      <alignment horizontal="left" vertical="top"/>
    </xf>
    <xf numFmtId="0" fontId="9" fillId="0" borderId="0" xfId="0" applyFont="1" applyAlignment="1">
      <alignment horizontal="left" vertical="top"/>
    </xf>
    <xf numFmtId="0" fontId="11" fillId="4" borderId="0" xfId="0" applyFont="1" applyFill="1" applyAlignment="1">
      <alignment horizontal="left" vertical="top"/>
    </xf>
    <xf numFmtId="0" fontId="12" fillId="0" borderId="0" xfId="0" applyFont="1" applyAlignment="1">
      <alignment horizontal="left" vertical="top"/>
    </xf>
    <xf numFmtId="0" fontId="9" fillId="4" borderId="0" xfId="0" applyFont="1" applyFill="1" applyAlignment="1">
      <alignment horizontal="left" vertical="top"/>
    </xf>
    <xf numFmtId="0" fontId="14" fillId="0" borderId="0" xfId="0" applyFont="1" applyAlignment="1">
      <alignment horizontal="left" vertical="top"/>
    </xf>
    <xf numFmtId="0" fontId="14" fillId="4" borderId="0" xfId="0" applyFont="1" applyFill="1" applyAlignment="1">
      <alignment horizontal="left" vertical="top"/>
    </xf>
    <xf numFmtId="0" fontId="13" fillId="5" borderId="0" xfId="0" applyFont="1" applyFill="1" applyAlignment="1">
      <alignment horizontal="left" vertical="top"/>
    </xf>
    <xf numFmtId="0" fontId="8" fillId="4" borderId="0" xfId="0" applyFont="1" applyFill="1" applyAlignment="1">
      <alignment horizontal="left" vertical="top"/>
    </xf>
    <xf numFmtId="2" fontId="8" fillId="0" borderId="0" xfId="0" applyNumberFormat="1" applyFont="1" applyAlignment="1">
      <alignment horizontal="left" vertical="top"/>
    </xf>
    <xf numFmtId="164" fontId="9" fillId="0" borderId="0" xfId="0" applyNumberFormat="1" applyFont="1" applyAlignment="1">
      <alignment horizontal="left" vertical="top"/>
    </xf>
    <xf numFmtId="164" fontId="8" fillId="0" borderId="0" xfId="0" applyNumberFormat="1" applyFont="1" applyAlignment="1">
      <alignment horizontal="left" vertical="top"/>
    </xf>
    <xf numFmtId="0" fontId="17" fillId="14" borderId="0" xfId="0" applyFont="1" applyFill="1" applyAlignment="1">
      <alignment vertical="center"/>
    </xf>
    <xf numFmtId="0" fontId="18" fillId="15" borderId="0" xfId="0" applyFont="1" applyFill="1" applyAlignment="1">
      <alignment horizontal="left" vertical="center"/>
    </xf>
    <xf numFmtId="0" fontId="19" fillId="13" borderId="0" xfId="0" applyFont="1" applyFill="1" applyAlignment="1">
      <alignment horizontal="left" vertical="center"/>
    </xf>
    <xf numFmtId="0" fontId="19" fillId="0" borderId="0" xfId="0" applyFont="1" applyAlignment="1">
      <alignment horizontal="left" vertical="center"/>
    </xf>
    <xf numFmtId="164" fontId="14" fillId="0" borderId="0" xfId="0" applyNumberFormat="1" applyFont="1" applyAlignment="1">
      <alignment horizontal="left" vertical="top"/>
    </xf>
    <xf numFmtId="0" fontId="17" fillId="14" borderId="0" xfId="0" applyFont="1" applyFill="1" applyAlignment="1">
      <alignment horizontal="left" vertical="center"/>
    </xf>
    <xf numFmtId="0" fontId="21" fillId="14" borderId="0" xfId="0" applyFont="1" applyFill="1" applyAlignment="1">
      <alignment horizontal="left" vertical="center"/>
    </xf>
    <xf numFmtId="0" fontId="8" fillId="0" borderId="0" xfId="0" applyFont="1" applyAlignment="1">
      <alignment horizontal="left" vertical="top" wrapText="1"/>
    </xf>
    <xf numFmtId="0" fontId="15" fillId="0" borderId="0" xfId="0" applyFont="1" applyAlignment="1">
      <alignment horizontal="left" vertical="top"/>
    </xf>
    <xf numFmtId="0" fontId="8" fillId="0" borderId="6" xfId="0" applyFont="1" applyBorder="1" applyAlignment="1">
      <alignment horizontal="left" vertical="top"/>
    </xf>
    <xf numFmtId="0" fontId="15" fillId="0" borderId="7" xfId="0" applyFont="1" applyBorder="1" applyAlignment="1">
      <alignment horizontal="left" vertical="top" wrapText="1"/>
    </xf>
    <xf numFmtId="0" fontId="9" fillId="21" borderId="8" xfId="0" applyFont="1" applyFill="1" applyBorder="1" applyAlignment="1">
      <alignment horizontal="left" vertical="top"/>
    </xf>
    <xf numFmtId="2" fontId="9" fillId="21" borderId="8" xfId="0" applyNumberFormat="1" applyFont="1" applyFill="1" applyBorder="1" applyAlignment="1">
      <alignment horizontal="left" vertical="top"/>
    </xf>
    <xf numFmtId="0" fontId="9" fillId="0" borderId="8" xfId="0" applyFont="1" applyBorder="1" applyAlignment="1">
      <alignment horizontal="left" vertical="top"/>
    </xf>
    <xf numFmtId="2" fontId="9" fillId="0" borderId="8" xfId="0" applyNumberFormat="1" applyFont="1" applyBorder="1" applyAlignment="1">
      <alignment horizontal="left" vertical="top"/>
    </xf>
    <xf numFmtId="0" fontId="13" fillId="20" borderId="9" xfId="0" applyFont="1" applyFill="1" applyBorder="1" applyAlignment="1">
      <alignment horizontal="left" vertical="top"/>
    </xf>
    <xf numFmtId="0" fontId="9" fillId="0" borderId="10" xfId="0" applyFont="1" applyBorder="1" applyAlignment="1">
      <alignment horizontal="left" vertical="top"/>
    </xf>
    <xf numFmtId="2" fontId="9" fillId="0" borderId="10" xfId="0" applyNumberFormat="1" applyFont="1" applyBorder="1" applyAlignment="1">
      <alignment horizontal="left" vertical="top"/>
    </xf>
    <xf numFmtId="0" fontId="19" fillId="0" borderId="0" xfId="0" applyFont="1" applyAlignment="1">
      <alignment horizontal="left" vertical="top"/>
    </xf>
    <xf numFmtId="0" fontId="0" fillId="7" borderId="0" xfId="0" applyFill="1" applyAlignment="1">
      <alignment horizontal="left" vertical="top"/>
    </xf>
    <xf numFmtId="0" fontId="17" fillId="18" borderId="0" xfId="0" applyFont="1" applyFill="1" applyAlignment="1">
      <alignment horizontal="left" vertical="top"/>
    </xf>
    <xf numFmtId="0" fontId="22" fillId="19" borderId="5" xfId="0" applyFont="1" applyFill="1" applyBorder="1" applyAlignment="1">
      <alignment horizontal="left" vertical="top"/>
    </xf>
    <xf numFmtId="0" fontId="22" fillId="0" borderId="5" xfId="0" applyFont="1" applyBorder="1" applyAlignment="1">
      <alignment horizontal="left" vertical="top"/>
    </xf>
    <xf numFmtId="0" fontId="17" fillId="12" borderId="0" xfId="0" applyFont="1" applyFill="1" applyAlignment="1">
      <alignment horizontal="center" vertical="top"/>
    </xf>
    <xf numFmtId="0" fontId="20" fillId="0" borderId="0" xfId="0" applyFont="1" applyAlignment="1">
      <alignment horizontal="left" vertical="top"/>
    </xf>
    <xf numFmtId="0" fontId="19" fillId="10" borderId="0" xfId="0" applyFont="1" applyFill="1" applyAlignment="1">
      <alignment horizontal="left" vertical="top"/>
    </xf>
    <xf numFmtId="0" fontId="23" fillId="0" borderId="0" xfId="0" applyFont="1" applyAlignment="1">
      <alignment horizontal="left" vertical="top"/>
    </xf>
    <xf numFmtId="0" fontId="24" fillId="0" borderId="0" xfId="0" applyFont="1" applyAlignment="1">
      <alignment horizontal="left" vertical="top"/>
    </xf>
    <xf numFmtId="0" fontId="26" fillId="0" borderId="0" xfId="0" applyFont="1" applyAlignment="1">
      <alignment horizontal="center" vertical="top"/>
    </xf>
    <xf numFmtId="164" fontId="23" fillId="8" borderId="11" xfId="0" applyNumberFormat="1" applyFont="1" applyFill="1" applyBorder="1" applyAlignment="1">
      <alignment horizontal="center" vertical="center"/>
    </xf>
    <xf numFmtId="0" fontId="23" fillId="8" borderId="11" xfId="0" applyFont="1" applyFill="1" applyBorder="1" applyAlignment="1">
      <alignment horizontal="center" vertical="center"/>
    </xf>
    <xf numFmtId="0" fontId="23" fillId="22" borderId="0" xfId="0" applyFont="1" applyFill="1" applyAlignment="1">
      <alignment horizontal="left" vertical="top"/>
    </xf>
    <xf numFmtId="164" fontId="23" fillId="4" borderId="11" xfId="0" applyNumberFormat="1" applyFont="1" applyFill="1" applyBorder="1" applyAlignment="1">
      <alignment horizontal="center" vertical="center"/>
    </xf>
    <xf numFmtId="164" fontId="28" fillId="10" borderId="0" xfId="0" applyNumberFormat="1" applyFont="1" applyFill="1" applyAlignment="1">
      <alignment horizontal="left" vertical="top"/>
    </xf>
    <xf numFmtId="164" fontId="23" fillId="10" borderId="0" xfId="0" applyNumberFormat="1" applyFont="1" applyFill="1" applyAlignment="1">
      <alignment horizontal="left" vertical="center"/>
    </xf>
    <xf numFmtId="0" fontId="24" fillId="0" borderId="0" xfId="0" applyFont="1" applyAlignment="1">
      <alignment horizontal="right" vertical="top"/>
    </xf>
    <xf numFmtId="0" fontId="32" fillId="0" borderId="0" xfId="0" applyFont="1" applyAlignment="1">
      <alignment horizontal="left" vertical="center"/>
    </xf>
    <xf numFmtId="0" fontId="33" fillId="7" borderId="0" xfId="0" applyFont="1" applyFill="1" applyAlignment="1">
      <alignment vertical="center"/>
    </xf>
    <xf numFmtId="0" fontId="33" fillId="7" borderId="0" xfId="0" applyFont="1" applyFill="1" applyAlignment="1">
      <alignment horizontal="center" vertical="center"/>
    </xf>
    <xf numFmtId="0" fontId="32" fillId="7" borderId="0" xfId="0" applyFont="1" applyFill="1" applyAlignment="1">
      <alignment horizontal="left" vertical="center"/>
    </xf>
    <xf numFmtId="0" fontId="32" fillId="5" borderId="0" xfId="0" applyFont="1" applyFill="1" applyAlignment="1">
      <alignment horizontal="left" vertical="center"/>
    </xf>
    <xf numFmtId="0" fontId="34" fillId="9" borderId="0" xfId="0" applyFont="1" applyFill="1" applyAlignment="1">
      <alignment horizontal="right" vertical="center"/>
    </xf>
    <xf numFmtId="0" fontId="34" fillId="10" borderId="0" xfId="0" applyFont="1" applyFill="1" applyAlignment="1">
      <alignment horizontal="right" vertical="center"/>
    </xf>
    <xf numFmtId="0" fontId="32" fillId="10" borderId="0" xfId="0" applyFont="1" applyFill="1" applyAlignment="1">
      <alignment vertical="center"/>
    </xf>
    <xf numFmtId="0" fontId="32" fillId="10" borderId="0" xfId="0" applyFont="1" applyFill="1" applyAlignment="1">
      <alignment horizontal="left" vertical="center"/>
    </xf>
    <xf numFmtId="0" fontId="32" fillId="9" borderId="0" xfId="0" applyFont="1" applyFill="1" applyAlignment="1">
      <alignment horizontal="right" vertical="center"/>
    </xf>
    <xf numFmtId="0" fontId="32" fillId="10" borderId="0" xfId="0" applyFont="1" applyFill="1" applyAlignment="1">
      <alignment horizontal="right" vertical="center"/>
    </xf>
    <xf numFmtId="0" fontId="35" fillId="9" borderId="0" xfId="0" applyFont="1" applyFill="1" applyAlignment="1">
      <alignment horizontal="right" vertical="center"/>
    </xf>
    <xf numFmtId="0" fontId="35" fillId="10" borderId="0" xfId="0" applyFont="1" applyFill="1" applyAlignment="1">
      <alignment horizontal="right" vertical="center"/>
    </xf>
    <xf numFmtId="0" fontId="36" fillId="10" borderId="0" xfId="0" applyFont="1" applyFill="1" applyAlignment="1">
      <alignment vertical="center"/>
    </xf>
    <xf numFmtId="0" fontId="37" fillId="10" borderId="0" xfId="0" applyFont="1" applyFill="1" applyAlignment="1">
      <alignment horizontal="left" vertical="center"/>
    </xf>
    <xf numFmtId="0" fontId="36" fillId="10" borderId="0" xfId="0" applyFont="1" applyFill="1" applyAlignment="1">
      <alignment horizontal="left" vertical="center"/>
    </xf>
    <xf numFmtId="0" fontId="36" fillId="9" borderId="0" xfId="0" applyFont="1" applyFill="1" applyAlignment="1">
      <alignment horizontal="right" vertical="center"/>
    </xf>
    <xf numFmtId="0" fontId="36" fillId="10" borderId="0" xfId="0" applyFont="1" applyFill="1" applyAlignment="1">
      <alignment horizontal="right" vertical="center"/>
    </xf>
    <xf numFmtId="0" fontId="35" fillId="6" borderId="0" xfId="0" applyFont="1" applyFill="1" applyAlignment="1">
      <alignment horizontal="right" vertical="center"/>
    </xf>
    <xf numFmtId="0" fontId="35" fillId="6" borderId="0" xfId="0" applyFont="1" applyFill="1" applyAlignment="1">
      <alignment vertical="center"/>
    </xf>
    <xf numFmtId="0" fontId="35" fillId="8" borderId="0" xfId="0" applyFont="1" applyFill="1" applyAlignment="1">
      <alignment vertical="center"/>
    </xf>
    <xf numFmtId="0" fontId="36" fillId="8" borderId="0" xfId="0" applyFont="1" applyFill="1" applyAlignment="1">
      <alignment vertical="center"/>
    </xf>
    <xf numFmtId="0" fontId="36" fillId="8" borderId="0" xfId="0" applyFont="1" applyFill="1" applyAlignment="1">
      <alignment horizontal="left" vertical="center"/>
    </xf>
    <xf numFmtId="0" fontId="35" fillId="10" borderId="0" xfId="0" applyFont="1" applyFill="1" applyAlignment="1">
      <alignment horizontal="left" vertical="center"/>
    </xf>
    <xf numFmtId="0" fontId="40" fillId="10" borderId="0" xfId="0" applyFont="1" applyFill="1" applyAlignment="1">
      <alignment horizontal="left" vertical="center"/>
    </xf>
    <xf numFmtId="0" fontId="41" fillId="6" borderId="0" xfId="0" applyFont="1" applyFill="1" applyAlignment="1">
      <alignment vertical="center"/>
    </xf>
    <xf numFmtId="0" fontId="35" fillId="6" borderId="0" xfId="0" applyFont="1" applyFill="1" applyAlignment="1">
      <alignment horizontal="center" vertical="center"/>
    </xf>
    <xf numFmtId="0" fontId="41" fillId="6" borderId="0" xfId="0" applyFont="1" applyFill="1" applyAlignment="1">
      <alignment horizontal="left" vertical="center"/>
    </xf>
    <xf numFmtId="0" fontId="36" fillId="8" borderId="0" xfId="0" applyFont="1" applyFill="1" applyAlignment="1">
      <alignment horizontal="right" vertical="center"/>
    </xf>
    <xf numFmtId="0" fontId="36" fillId="8" borderId="0" xfId="0" applyFont="1" applyFill="1" applyAlignment="1">
      <alignment horizontal="center" vertical="center"/>
    </xf>
    <xf numFmtId="0" fontId="35" fillId="10" borderId="0" xfId="0" applyFont="1" applyFill="1" applyAlignment="1">
      <alignment vertical="center"/>
    </xf>
    <xf numFmtId="0" fontId="33" fillId="5" borderId="0" xfId="0" applyFont="1" applyFill="1" applyAlignment="1">
      <alignment vertical="center"/>
    </xf>
    <xf numFmtId="0" fontId="38" fillId="5" borderId="0" xfId="0" applyFont="1" applyFill="1" applyAlignment="1">
      <alignment vertical="center"/>
    </xf>
    <xf numFmtId="164" fontId="39" fillId="5" borderId="0" xfId="0" applyNumberFormat="1" applyFont="1" applyFill="1" applyAlignment="1">
      <alignment horizontal="left" vertical="center"/>
    </xf>
    <xf numFmtId="0" fontId="32" fillId="0" borderId="0" xfId="0" applyFont="1" applyAlignment="1">
      <alignment horizontal="left" vertical="top"/>
    </xf>
    <xf numFmtId="0" fontId="43" fillId="7" borderId="0" xfId="0" applyFont="1" applyFill="1" applyAlignment="1">
      <alignment vertical="center"/>
    </xf>
    <xf numFmtId="0" fontId="44" fillId="7" borderId="0" xfId="0" applyFont="1" applyFill="1" applyAlignment="1">
      <alignment horizontal="left" vertical="center"/>
    </xf>
    <xf numFmtId="0" fontId="32" fillId="8" borderId="0" xfId="0" applyFont="1" applyFill="1" applyAlignment="1">
      <alignment horizontal="left" vertical="center"/>
    </xf>
    <xf numFmtId="0" fontId="32" fillId="6" borderId="0" xfId="0" applyFont="1" applyFill="1" applyAlignment="1">
      <alignment horizontal="left" vertical="center"/>
    </xf>
    <xf numFmtId="0" fontId="32" fillId="9" borderId="0" xfId="0" applyFont="1" applyFill="1" applyAlignment="1">
      <alignment horizontal="left" vertical="center"/>
    </xf>
    <xf numFmtId="0" fontId="0" fillId="5" borderId="0" xfId="0" applyFill="1" applyAlignment="1">
      <alignment horizontal="left" vertical="top"/>
    </xf>
    <xf numFmtId="0" fontId="33" fillId="5" borderId="0" xfId="0" applyFont="1" applyFill="1" applyAlignment="1">
      <alignment horizontal="center" vertical="center"/>
    </xf>
    <xf numFmtId="0" fontId="33" fillId="10" borderId="0" xfId="0" applyFont="1" applyFill="1" applyAlignment="1">
      <alignment horizontal="center" vertical="center"/>
    </xf>
    <xf numFmtId="0" fontId="36" fillId="9" borderId="0" xfId="0" applyFont="1" applyFill="1" applyAlignment="1">
      <alignment horizontal="left" vertical="center"/>
    </xf>
    <xf numFmtId="0" fontId="36" fillId="6" borderId="0" xfId="0" applyFont="1" applyFill="1" applyAlignment="1">
      <alignment horizontal="right" vertical="center"/>
    </xf>
    <xf numFmtId="0" fontId="35" fillId="10" borderId="0" xfId="0" applyFont="1" applyFill="1" applyAlignment="1">
      <alignment horizontal="right" vertical="top"/>
    </xf>
    <xf numFmtId="164" fontId="36" fillId="10" borderId="0" xfId="0" applyNumberFormat="1" applyFont="1" applyFill="1" applyAlignment="1">
      <alignment horizontal="left" vertical="center"/>
    </xf>
    <xf numFmtId="0" fontId="38" fillId="10" borderId="0" xfId="0" applyFont="1" applyFill="1" applyAlignment="1">
      <alignment horizontal="right" vertical="top"/>
    </xf>
    <xf numFmtId="0" fontId="36" fillId="5" borderId="0" xfId="0" applyFont="1" applyFill="1" applyAlignment="1">
      <alignment horizontal="left" vertical="center"/>
    </xf>
    <xf numFmtId="0" fontId="36" fillId="7" borderId="0" xfId="0" applyFont="1" applyFill="1" applyAlignment="1">
      <alignment horizontal="right" vertical="center"/>
    </xf>
    <xf numFmtId="0" fontId="34" fillId="7" borderId="0" xfId="0" applyFont="1" applyFill="1" applyAlignment="1">
      <alignment horizontal="left" vertical="center"/>
    </xf>
    <xf numFmtId="0" fontId="45" fillId="7" borderId="0" xfId="0" applyFont="1" applyFill="1" applyAlignment="1">
      <alignment horizontal="left" vertical="center"/>
    </xf>
    <xf numFmtId="0" fontId="0" fillId="13" borderId="0" xfId="0" applyFill="1" applyAlignment="1">
      <alignment horizontal="left" vertical="top"/>
    </xf>
    <xf numFmtId="164" fontId="39" fillId="10" borderId="0" xfId="0" applyNumberFormat="1" applyFont="1" applyFill="1" applyAlignment="1">
      <alignment horizontal="left" vertical="top"/>
    </xf>
    <xf numFmtId="0" fontId="38" fillId="9" borderId="0" xfId="0" applyFont="1" applyFill="1" applyAlignment="1">
      <alignment horizontal="center" vertical="top"/>
    </xf>
    <xf numFmtId="0" fontId="32" fillId="7" borderId="0" xfId="0" applyFont="1" applyFill="1" applyAlignment="1">
      <alignment horizontal="right" vertical="center"/>
    </xf>
    <xf numFmtId="0" fontId="33" fillId="8" borderId="0" xfId="0" applyFont="1" applyFill="1" applyAlignment="1">
      <alignment vertical="center"/>
    </xf>
    <xf numFmtId="0" fontId="35" fillId="8" borderId="0" xfId="0" applyFont="1" applyFill="1" applyAlignment="1">
      <alignment horizontal="left" vertical="center"/>
    </xf>
    <xf numFmtId="0" fontId="36" fillId="10" borderId="0" xfId="0" applyFont="1" applyFill="1" applyAlignment="1">
      <alignment horizontal="center" vertical="center"/>
    </xf>
    <xf numFmtId="0" fontId="47" fillId="5" borderId="0" xfId="0" applyFont="1" applyFill="1" applyAlignment="1">
      <alignment horizontal="left" vertical="center"/>
    </xf>
    <xf numFmtId="0" fontId="36" fillId="24" borderId="0" xfId="0" applyFont="1" applyFill="1" applyAlignment="1">
      <alignment horizontal="left" vertical="center"/>
    </xf>
    <xf numFmtId="0" fontId="36" fillId="24" borderId="20" xfId="0" applyFont="1" applyFill="1" applyBorder="1" applyAlignment="1">
      <alignment horizontal="right" vertical="center"/>
    </xf>
    <xf numFmtId="0" fontId="36" fillId="5" borderId="0" xfId="0" applyFont="1" applyFill="1" applyAlignment="1">
      <alignment horizontal="right" vertical="center"/>
    </xf>
    <xf numFmtId="0" fontId="0" fillId="6" borderId="0" xfId="0" applyFill="1" applyAlignment="1">
      <alignment horizontal="left" vertical="top"/>
    </xf>
    <xf numFmtId="0" fontId="19" fillId="10" borderId="0" xfId="0" applyFont="1" applyFill="1" applyAlignment="1">
      <alignment horizontal="center" vertical="top"/>
    </xf>
    <xf numFmtId="0" fontId="40" fillId="5" borderId="0" xfId="0" applyFont="1" applyFill="1" applyAlignment="1">
      <alignment horizontal="left" vertical="center"/>
    </xf>
    <xf numFmtId="0" fontId="46" fillId="10" borderId="0" xfId="0" applyFont="1" applyFill="1" applyAlignment="1">
      <alignment horizontal="left" vertical="center"/>
    </xf>
    <xf numFmtId="0" fontId="36" fillId="24" borderId="22" xfId="0" applyFont="1" applyFill="1" applyBorder="1" applyAlignment="1">
      <alignment horizontal="right" vertical="center"/>
    </xf>
    <xf numFmtId="0" fontId="36" fillId="24" borderId="23" xfId="0" applyFont="1" applyFill="1" applyBorder="1" applyAlignment="1">
      <alignment horizontal="left" vertical="center"/>
    </xf>
    <xf numFmtId="0" fontId="36" fillId="24" borderId="24" xfId="0" applyFont="1" applyFill="1" applyBorder="1" applyAlignment="1">
      <alignment horizontal="right" vertical="center"/>
    </xf>
    <xf numFmtId="0" fontId="36" fillId="24" borderId="25" xfId="0" applyFont="1" applyFill="1" applyBorder="1" applyAlignment="1">
      <alignment horizontal="right" vertical="center"/>
    </xf>
    <xf numFmtId="0" fontId="36" fillId="24" borderId="19" xfId="0" applyFont="1" applyFill="1" applyBorder="1" applyAlignment="1">
      <alignment horizontal="left" vertical="center"/>
    </xf>
    <xf numFmtId="0" fontId="36" fillId="24" borderId="26" xfId="0" applyFont="1" applyFill="1" applyBorder="1" applyAlignment="1">
      <alignment horizontal="right" vertical="center"/>
    </xf>
    <xf numFmtId="0" fontId="36" fillId="24" borderId="27" xfId="0" applyFont="1" applyFill="1" applyBorder="1" applyAlignment="1">
      <alignment horizontal="left" vertical="center"/>
    </xf>
    <xf numFmtId="0" fontId="36" fillId="24" borderId="28" xfId="0" applyFont="1" applyFill="1" applyBorder="1" applyAlignment="1">
      <alignment horizontal="left" vertical="center"/>
    </xf>
    <xf numFmtId="0" fontId="36" fillId="24" borderId="29" xfId="0" applyFont="1" applyFill="1" applyBorder="1" applyAlignment="1">
      <alignment horizontal="left" vertical="center"/>
    </xf>
    <xf numFmtId="0" fontId="36" fillId="24" borderId="30" xfId="0" applyFont="1" applyFill="1" applyBorder="1" applyAlignment="1">
      <alignment horizontal="left" vertical="center"/>
    </xf>
    <xf numFmtId="0" fontId="36" fillId="24" borderId="31" xfId="0" applyFont="1" applyFill="1" applyBorder="1" applyAlignment="1">
      <alignment horizontal="left" vertical="center"/>
    </xf>
    <xf numFmtId="0" fontId="36" fillId="24" borderId="32" xfId="0" applyFont="1" applyFill="1" applyBorder="1" applyAlignment="1">
      <alignment horizontal="right" vertical="center"/>
    </xf>
    <xf numFmtId="0" fontId="36" fillId="24" borderId="33" xfId="0" applyFont="1" applyFill="1" applyBorder="1" applyAlignment="1">
      <alignment horizontal="right" vertical="center"/>
    </xf>
    <xf numFmtId="0" fontId="36" fillId="24" borderId="34" xfId="0" applyFont="1" applyFill="1" applyBorder="1" applyAlignment="1">
      <alignment horizontal="right" vertical="center"/>
    </xf>
    <xf numFmtId="0" fontId="36" fillId="24" borderId="35" xfId="0" applyFont="1" applyFill="1" applyBorder="1" applyAlignment="1">
      <alignment horizontal="left" vertical="center"/>
    </xf>
    <xf numFmtId="0" fontId="36" fillId="24" borderId="36" xfId="0" applyFont="1" applyFill="1" applyBorder="1" applyAlignment="1">
      <alignment horizontal="left" vertical="center"/>
    </xf>
    <xf numFmtId="0" fontId="36" fillId="24" borderId="37" xfId="0" applyFont="1" applyFill="1" applyBorder="1" applyAlignment="1">
      <alignment horizontal="left" vertical="center"/>
    </xf>
    <xf numFmtId="0" fontId="36" fillId="24" borderId="38" xfId="0" applyFont="1" applyFill="1" applyBorder="1" applyAlignment="1">
      <alignment horizontal="left" vertical="center"/>
    </xf>
    <xf numFmtId="0" fontId="36" fillId="24" borderId="39" xfId="0" applyFont="1" applyFill="1" applyBorder="1" applyAlignment="1">
      <alignment horizontal="left" vertical="center"/>
    </xf>
    <xf numFmtId="0" fontId="36" fillId="24" borderId="40" xfId="0" applyFont="1" applyFill="1" applyBorder="1" applyAlignment="1">
      <alignment horizontal="right" vertical="center"/>
    </xf>
    <xf numFmtId="0" fontId="36" fillId="24" borderId="41" xfId="0" applyFont="1" applyFill="1" applyBorder="1" applyAlignment="1">
      <alignment horizontal="left" vertical="center"/>
    </xf>
    <xf numFmtId="0" fontId="36" fillId="24" borderId="42" xfId="0" applyFont="1" applyFill="1" applyBorder="1" applyAlignment="1">
      <alignment horizontal="left" vertical="center"/>
    </xf>
    <xf numFmtId="0" fontId="36" fillId="24" borderId="43" xfId="0" applyFont="1" applyFill="1" applyBorder="1" applyAlignment="1">
      <alignment horizontal="left" vertical="center"/>
    </xf>
    <xf numFmtId="0" fontId="36" fillId="24" borderId="44" xfId="0" applyFont="1" applyFill="1" applyBorder="1" applyAlignment="1">
      <alignment horizontal="left" vertical="center"/>
    </xf>
    <xf numFmtId="0" fontId="36" fillId="24" borderId="45" xfId="0" applyFont="1" applyFill="1" applyBorder="1" applyAlignment="1">
      <alignment horizontal="left" vertical="center"/>
    </xf>
    <xf numFmtId="0" fontId="36" fillId="24" borderId="48" xfId="0" applyFont="1" applyFill="1" applyBorder="1" applyAlignment="1">
      <alignment horizontal="left" vertical="center"/>
    </xf>
    <xf numFmtId="0" fontId="36" fillId="24" borderId="46" xfId="0" applyFont="1" applyFill="1" applyBorder="1" applyAlignment="1">
      <alignment horizontal="left" vertical="center"/>
    </xf>
    <xf numFmtId="0" fontId="36" fillId="24" borderId="47" xfId="0" applyFont="1" applyFill="1" applyBorder="1" applyAlignment="1">
      <alignment horizontal="left" vertical="center"/>
    </xf>
    <xf numFmtId="0" fontId="36" fillId="24" borderId="49" xfId="0" applyFont="1" applyFill="1" applyBorder="1" applyAlignment="1">
      <alignment horizontal="right" vertical="center"/>
    </xf>
    <xf numFmtId="0" fontId="36" fillId="24" borderId="50" xfId="0" applyFont="1" applyFill="1" applyBorder="1" applyAlignment="1">
      <alignment horizontal="left" vertical="center"/>
    </xf>
    <xf numFmtId="0" fontId="37" fillId="24" borderId="37" xfId="0" applyFont="1" applyFill="1" applyBorder="1" applyAlignment="1">
      <alignment horizontal="left" vertical="center"/>
    </xf>
    <xf numFmtId="0" fontId="32" fillId="24" borderId="51" xfId="0" applyFont="1" applyFill="1" applyBorder="1" applyAlignment="1">
      <alignment horizontal="left" vertical="center"/>
    </xf>
    <xf numFmtId="0" fontId="32" fillId="24" borderId="29" xfId="0" applyFont="1" applyFill="1" applyBorder="1" applyAlignment="1">
      <alignment horizontal="left" vertical="center"/>
    </xf>
    <xf numFmtId="0" fontId="32" fillId="24" borderId="52" xfId="0" applyFont="1" applyFill="1" applyBorder="1" applyAlignment="1">
      <alignment horizontal="left" vertical="center"/>
    </xf>
    <xf numFmtId="0" fontId="36" fillId="24" borderId="53" xfId="0" applyFont="1" applyFill="1" applyBorder="1" applyAlignment="1">
      <alignment horizontal="right" vertical="center"/>
    </xf>
    <xf numFmtId="0" fontId="32" fillId="24" borderId="41" xfId="0" applyFont="1" applyFill="1" applyBorder="1" applyAlignment="1">
      <alignment horizontal="left" vertical="center"/>
    </xf>
    <xf numFmtId="0" fontId="32" fillId="24" borderId="37" xfId="0" applyFont="1" applyFill="1" applyBorder="1" applyAlignment="1">
      <alignment horizontal="left" vertical="center"/>
    </xf>
    <xf numFmtId="0" fontId="36" fillId="24" borderId="54" xfId="0" applyFont="1" applyFill="1" applyBorder="1" applyAlignment="1">
      <alignment horizontal="right" vertical="center"/>
    </xf>
    <xf numFmtId="0" fontId="36" fillId="24" borderId="19" xfId="0" applyFont="1" applyFill="1" applyBorder="1" applyAlignment="1">
      <alignment horizontal="right" vertical="center"/>
    </xf>
    <xf numFmtId="0" fontId="36" fillId="24" borderId="21" xfId="0" applyFont="1" applyFill="1" applyBorder="1" applyAlignment="1">
      <alignment horizontal="right" vertical="center"/>
    </xf>
    <xf numFmtId="0" fontId="32" fillId="24" borderId="55" xfId="0" applyFont="1" applyFill="1" applyBorder="1" applyAlignment="1">
      <alignment horizontal="left" vertical="center"/>
    </xf>
    <xf numFmtId="0" fontId="32" fillId="24" borderId="56" xfId="0" applyFont="1" applyFill="1" applyBorder="1" applyAlignment="1">
      <alignment horizontal="left" vertical="center"/>
    </xf>
    <xf numFmtId="0" fontId="36" fillId="24" borderId="57" xfId="0" applyFont="1" applyFill="1" applyBorder="1" applyAlignment="1">
      <alignment horizontal="right" vertical="center"/>
    </xf>
    <xf numFmtId="0" fontId="32" fillId="24" borderId="58" xfId="0" applyFont="1" applyFill="1" applyBorder="1" applyAlignment="1">
      <alignment horizontal="left" vertical="center"/>
    </xf>
    <xf numFmtId="0" fontId="36" fillId="24" borderId="59" xfId="0" applyFont="1" applyFill="1" applyBorder="1" applyAlignment="1">
      <alignment horizontal="right" vertical="center"/>
    </xf>
    <xf numFmtId="0" fontId="32" fillId="24" borderId="60" xfId="0" applyFont="1" applyFill="1" applyBorder="1" applyAlignment="1">
      <alignment horizontal="left" vertical="center"/>
    </xf>
    <xf numFmtId="0" fontId="32" fillId="24" borderId="49" xfId="0" applyFont="1" applyFill="1" applyBorder="1" applyAlignment="1">
      <alignment horizontal="right" vertical="center"/>
    </xf>
    <xf numFmtId="0" fontId="36" fillId="24" borderId="52" xfId="0" applyFont="1" applyFill="1" applyBorder="1" applyAlignment="1">
      <alignment horizontal="left" vertical="center"/>
    </xf>
    <xf numFmtId="0" fontId="32" fillId="24" borderId="61" xfId="0" applyFont="1" applyFill="1" applyBorder="1" applyAlignment="1">
      <alignment horizontal="left" vertical="center"/>
    </xf>
    <xf numFmtId="0" fontId="36" fillId="24" borderId="51" xfId="0" applyFont="1" applyFill="1" applyBorder="1" applyAlignment="1">
      <alignment horizontal="left" vertical="center"/>
    </xf>
    <xf numFmtId="164" fontId="23" fillId="10" borderId="0" xfId="0" applyNumberFormat="1" applyFont="1" applyFill="1" applyAlignment="1">
      <alignment horizontal="left" vertical="top"/>
    </xf>
    <xf numFmtId="0" fontId="24" fillId="9" borderId="0" xfId="0" applyFont="1" applyFill="1" applyAlignment="1">
      <alignment horizontal="left" vertical="top"/>
    </xf>
    <xf numFmtId="164" fontId="25" fillId="10" borderId="0" xfId="0" applyNumberFormat="1" applyFont="1" applyFill="1" applyAlignment="1">
      <alignment horizontal="left" vertical="top"/>
    </xf>
    <xf numFmtId="0" fontId="27" fillId="9" borderId="0" xfId="0" applyFont="1" applyFill="1" applyAlignment="1">
      <alignment horizontal="left" vertical="top"/>
    </xf>
    <xf numFmtId="0" fontId="25" fillId="9" borderId="0" xfId="0" applyFont="1" applyFill="1" applyAlignment="1">
      <alignment horizontal="left" vertical="top"/>
    </xf>
    <xf numFmtId="164" fontId="24" fillId="0" borderId="0" xfId="0" applyNumberFormat="1" applyFont="1" applyAlignment="1">
      <alignment horizontal="left" vertical="top"/>
    </xf>
    <xf numFmtId="0" fontId="19" fillId="0" borderId="0" xfId="0" applyFont="1" applyAlignment="1">
      <alignment horizontal="center" vertical="top"/>
    </xf>
    <xf numFmtId="0" fontId="23" fillId="4" borderId="15" xfId="0" applyFont="1" applyFill="1" applyBorder="1" applyAlignment="1">
      <alignment horizontal="center" vertical="center"/>
    </xf>
    <xf numFmtId="164" fontId="23" fillId="4" borderId="15" xfId="0" applyNumberFormat="1" applyFont="1" applyFill="1" applyBorder="1" applyAlignment="1">
      <alignment horizontal="center" vertical="center"/>
    </xf>
    <xf numFmtId="164" fontId="23" fillId="4" borderId="14" xfId="0" applyNumberFormat="1" applyFont="1" applyFill="1" applyBorder="1" applyAlignment="1">
      <alignment horizontal="center" vertical="center"/>
    </xf>
    <xf numFmtId="0" fontId="26" fillId="0" borderId="12" xfId="0" applyFont="1" applyBorder="1" applyAlignment="1">
      <alignment horizontal="center" vertical="top"/>
    </xf>
    <xf numFmtId="0" fontId="26" fillId="0" borderId="6" xfId="0" applyFont="1" applyBorder="1" applyAlignment="1">
      <alignment horizontal="center" vertical="top"/>
    </xf>
    <xf numFmtId="0" fontId="26" fillId="0" borderId="13" xfId="0" applyFont="1" applyBorder="1" applyAlignment="1">
      <alignment horizontal="center" vertical="top"/>
    </xf>
    <xf numFmtId="0" fontId="23" fillId="4" borderId="15" xfId="0" applyFont="1" applyFill="1" applyBorder="1" applyAlignment="1">
      <alignment horizontal="center" vertical="top"/>
    </xf>
    <xf numFmtId="0" fontId="23" fillId="8" borderId="15" xfId="0" applyFont="1" applyFill="1" applyBorder="1" applyAlignment="1">
      <alignment horizontal="center" vertical="top"/>
    </xf>
    <xf numFmtId="0" fontId="23" fillId="8" borderId="15" xfId="0" applyFont="1" applyFill="1" applyBorder="1" applyAlignment="1">
      <alignment horizontal="center" vertical="center"/>
    </xf>
    <xf numFmtId="0" fontId="26" fillId="0" borderId="14" xfId="0" applyFont="1" applyBorder="1" applyAlignment="1">
      <alignment horizontal="center" vertical="top"/>
    </xf>
    <xf numFmtId="164" fontId="23" fillId="8" borderId="16" xfId="0" applyNumberFormat="1" applyFont="1" applyFill="1" applyBorder="1" applyAlignment="1">
      <alignment horizontal="center" vertical="center"/>
    </xf>
    <xf numFmtId="0" fontId="32" fillId="0" borderId="65" xfId="0" applyFont="1" applyBorder="1" applyAlignment="1">
      <alignment horizontal="left" vertical="center"/>
    </xf>
    <xf numFmtId="0" fontId="0" fillId="0" borderId="65" xfId="0" applyBorder="1" applyAlignment="1">
      <alignment horizontal="left" vertical="top"/>
    </xf>
    <xf numFmtId="0" fontId="32" fillId="0" borderId="65" xfId="0" applyFont="1" applyBorder="1" applyAlignment="1">
      <alignment horizontal="left" vertical="top"/>
    </xf>
    <xf numFmtId="0" fontId="0" fillId="0" borderId="66" xfId="0" applyBorder="1" applyAlignment="1">
      <alignment horizontal="left" vertical="top"/>
    </xf>
    <xf numFmtId="0" fontId="32" fillId="0" borderId="66" xfId="0" applyFont="1" applyBorder="1" applyAlignment="1">
      <alignment horizontal="left" vertical="center"/>
    </xf>
    <xf numFmtId="0" fontId="34" fillId="0" borderId="65" xfId="0" applyFont="1" applyBorder="1" applyAlignment="1">
      <alignment horizontal="left" vertical="center"/>
    </xf>
    <xf numFmtId="0" fontId="0" fillId="0" borderId="67" xfId="0" applyBorder="1" applyAlignment="1">
      <alignment horizontal="left" vertical="top"/>
    </xf>
    <xf numFmtId="0" fontId="0" fillId="0" borderId="68" xfId="0" applyBorder="1" applyAlignment="1">
      <alignment horizontal="left" vertical="top"/>
    </xf>
    <xf numFmtId="0" fontId="0" fillId="0" borderId="69" xfId="0" applyBorder="1" applyAlignment="1">
      <alignment horizontal="left" vertical="top"/>
    </xf>
    <xf numFmtId="0" fontId="0" fillId="0" borderId="70" xfId="0" applyBorder="1" applyAlignment="1">
      <alignment horizontal="left" vertical="top"/>
    </xf>
    <xf numFmtId="0" fontId="0" fillId="23" borderId="0" xfId="0" applyFill="1" applyAlignment="1">
      <alignment horizontal="left" vertical="top"/>
    </xf>
    <xf numFmtId="0" fontId="48" fillId="23" borderId="0" xfId="0" applyFont="1" applyFill="1" applyAlignment="1">
      <alignment vertical="center"/>
    </xf>
    <xf numFmtId="0" fontId="35" fillId="6" borderId="0" xfId="0" applyFont="1" applyFill="1" applyAlignment="1">
      <alignment horizontal="center"/>
    </xf>
    <xf numFmtId="0" fontId="0" fillId="8" borderId="0" xfId="0" applyFill="1" applyAlignment="1">
      <alignment horizontal="left" vertical="top"/>
    </xf>
    <xf numFmtId="0" fontId="35" fillId="23" borderId="0" xfId="0" applyFont="1" applyFill="1" applyAlignment="1">
      <alignment horizontal="center"/>
    </xf>
    <xf numFmtId="0" fontId="36" fillId="6" borderId="0" xfId="0" applyFont="1" applyFill="1" applyAlignment="1">
      <alignment horizontal="center"/>
    </xf>
    <xf numFmtId="0" fontId="36" fillId="8" borderId="0" xfId="0" applyFont="1" applyFill="1" applyAlignment="1">
      <alignment horizontal="center"/>
    </xf>
    <xf numFmtId="0" fontId="36" fillId="23" borderId="0" xfId="0" applyFont="1" applyFill="1" applyAlignment="1">
      <alignment horizontal="center"/>
    </xf>
    <xf numFmtId="0" fontId="35" fillId="8" borderId="0" xfId="0" applyFont="1" applyFill="1" applyAlignment="1">
      <alignment horizontal="center"/>
    </xf>
    <xf numFmtId="0" fontId="35" fillId="6" borderId="0" xfId="0" applyFont="1" applyFill="1" applyAlignment="1">
      <alignment horizontal="center" vertical="top"/>
    </xf>
    <xf numFmtId="0" fontId="35" fillId="6" borderId="0" xfId="0" applyFont="1" applyFill="1" applyAlignment="1">
      <alignment horizontal="left" vertical="top"/>
    </xf>
    <xf numFmtId="0" fontId="36" fillId="23" borderId="0" xfId="0" applyFont="1" applyFill="1" applyAlignment="1">
      <alignment horizontal="right" vertical="center"/>
    </xf>
    <xf numFmtId="0" fontId="36" fillId="23" borderId="0" xfId="0" applyFont="1" applyFill="1" applyAlignment="1">
      <alignment vertical="center"/>
    </xf>
    <xf numFmtId="0" fontId="36" fillId="23" borderId="0" xfId="0" applyFont="1" applyFill="1" applyAlignment="1">
      <alignment horizontal="center" vertical="center"/>
    </xf>
    <xf numFmtId="0" fontId="0" fillId="0" borderId="71" xfId="0" applyBorder="1" applyAlignment="1">
      <alignment horizontal="left" vertical="top"/>
    </xf>
    <xf numFmtId="0" fontId="0" fillId="0" borderId="72" xfId="0" applyBorder="1" applyAlignment="1">
      <alignment horizontal="left" vertical="top"/>
    </xf>
    <xf numFmtId="0" fontId="0" fillId="0" borderId="73" xfId="0" applyBorder="1" applyAlignment="1">
      <alignment horizontal="left" vertical="top"/>
    </xf>
    <xf numFmtId="0" fontId="30" fillId="16" borderId="74" xfId="0" applyFont="1" applyFill="1" applyBorder="1" applyAlignment="1">
      <alignment horizontal="right" vertical="top"/>
    </xf>
    <xf numFmtId="0" fontId="30" fillId="16" borderId="17" xfId="0" applyFont="1" applyFill="1" applyBorder="1" applyAlignment="1">
      <alignment horizontal="center" vertical="top"/>
    </xf>
    <xf numFmtId="0" fontId="30" fillId="16" borderId="18" xfId="0" applyFont="1" applyFill="1" applyBorder="1" applyAlignment="1">
      <alignment horizontal="center" vertical="top"/>
    </xf>
    <xf numFmtId="0" fontId="30" fillId="16" borderId="75" xfId="0" applyFont="1" applyFill="1" applyBorder="1" applyAlignment="1">
      <alignment horizontal="right" vertical="top"/>
    </xf>
    <xf numFmtId="164" fontId="31" fillId="16" borderId="76" xfId="0" applyNumberFormat="1" applyFont="1" applyFill="1" applyBorder="1" applyAlignment="1">
      <alignment horizontal="center" vertical="top"/>
    </xf>
    <xf numFmtId="0" fontId="30" fillId="7" borderId="75" xfId="0" applyFont="1" applyFill="1" applyBorder="1" applyAlignment="1">
      <alignment horizontal="right" vertical="top"/>
    </xf>
    <xf numFmtId="164" fontId="31" fillId="7" borderId="76" xfId="0" applyNumberFormat="1" applyFont="1" applyFill="1" applyBorder="1" applyAlignment="1">
      <alignment horizontal="center" vertical="top"/>
    </xf>
    <xf numFmtId="164" fontId="31" fillId="7" borderId="77" xfId="0" applyNumberFormat="1" applyFont="1" applyFill="1" applyBorder="1" applyAlignment="1">
      <alignment horizontal="center" vertical="top"/>
    </xf>
    <xf numFmtId="0" fontId="23" fillId="17" borderId="79" xfId="0" applyFont="1" applyFill="1" applyBorder="1" applyAlignment="1">
      <alignment horizontal="right" vertical="top"/>
    </xf>
    <xf numFmtId="164" fontId="31" fillId="16" borderId="81" xfId="0" applyNumberFormat="1" applyFont="1" applyFill="1" applyBorder="1" applyAlignment="1">
      <alignment horizontal="center" vertical="top"/>
    </xf>
    <xf numFmtId="164" fontId="31" fillId="16" borderId="82" xfId="0" applyNumberFormat="1" applyFont="1" applyFill="1" applyBorder="1" applyAlignment="1">
      <alignment horizontal="center" vertical="top"/>
    </xf>
    <xf numFmtId="164" fontId="23" fillId="8" borderId="80" xfId="0" applyNumberFormat="1" applyFont="1" applyFill="1" applyBorder="1" applyAlignment="1">
      <alignment horizontal="center" vertical="center"/>
    </xf>
    <xf numFmtId="0" fontId="30" fillId="16" borderId="84" xfId="0" applyFont="1" applyFill="1" applyBorder="1" applyAlignment="1">
      <alignment horizontal="right" vertical="top"/>
    </xf>
    <xf numFmtId="0" fontId="30" fillId="16" borderId="85" xfId="0" applyFont="1" applyFill="1" applyBorder="1" applyAlignment="1">
      <alignment horizontal="center" vertical="top"/>
    </xf>
    <xf numFmtId="0" fontId="30" fillId="16" borderId="86" xfId="0" applyFont="1" applyFill="1" applyBorder="1" applyAlignment="1">
      <alignment horizontal="center" vertical="top"/>
    </xf>
    <xf numFmtId="164" fontId="23" fillId="4" borderId="83" xfId="0" applyNumberFormat="1" applyFont="1" applyFill="1" applyBorder="1" applyAlignment="1">
      <alignment horizontal="center" vertical="center"/>
    </xf>
    <xf numFmtId="164" fontId="31" fillId="7" borderId="76" xfId="0" applyNumberFormat="1" applyFont="1" applyFill="1" applyBorder="1" applyAlignment="1">
      <alignment horizontal="center" vertical="center"/>
    </xf>
    <xf numFmtId="164" fontId="31" fillId="7" borderId="77" xfId="0" applyNumberFormat="1" applyFont="1" applyFill="1" applyBorder="1" applyAlignment="1">
      <alignment horizontal="center" vertical="center"/>
    </xf>
    <xf numFmtId="0" fontId="23" fillId="8" borderId="83" xfId="0" applyFont="1" applyFill="1" applyBorder="1" applyAlignment="1">
      <alignment horizontal="center" vertical="center"/>
    </xf>
    <xf numFmtId="0" fontId="23" fillId="17" borderId="87" xfId="0" applyFont="1" applyFill="1" applyBorder="1" applyAlignment="1">
      <alignment horizontal="right" vertical="top"/>
    </xf>
    <xf numFmtId="0" fontId="23" fillId="4" borderId="83" xfId="0" applyFont="1" applyFill="1" applyBorder="1" applyAlignment="1">
      <alignment horizontal="center" vertical="center"/>
    </xf>
    <xf numFmtId="0" fontId="36" fillId="24" borderId="88" xfId="0" applyFont="1" applyFill="1" applyBorder="1" applyAlignment="1">
      <alignment horizontal="right" vertical="center"/>
    </xf>
    <xf numFmtId="0" fontId="36" fillId="24" borderId="89" xfId="0" applyFont="1" applyFill="1" applyBorder="1" applyAlignment="1">
      <alignment horizontal="left" vertical="center"/>
    </xf>
    <xf numFmtId="0" fontId="36" fillId="24" borderId="90" xfId="0" applyFont="1" applyFill="1" applyBorder="1" applyAlignment="1">
      <alignment horizontal="left" vertical="center"/>
    </xf>
    <xf numFmtId="0" fontId="36" fillId="24" borderId="91" xfId="0" applyFont="1" applyFill="1" applyBorder="1" applyAlignment="1">
      <alignment horizontal="right" vertical="center"/>
    </xf>
    <xf numFmtId="0" fontId="36" fillId="24" borderId="92" xfId="0" applyFont="1" applyFill="1" applyBorder="1" applyAlignment="1">
      <alignment horizontal="left" vertical="center"/>
    </xf>
    <xf numFmtId="0" fontId="36" fillId="24" borderId="93" xfId="0" applyFont="1" applyFill="1" applyBorder="1" applyAlignment="1">
      <alignment horizontal="right" vertical="center"/>
    </xf>
    <xf numFmtId="0" fontId="36" fillId="24" borderId="94" xfId="0" applyFont="1" applyFill="1" applyBorder="1" applyAlignment="1">
      <alignment horizontal="right" vertical="center"/>
    </xf>
    <xf numFmtId="0" fontId="36" fillId="24" borderId="95" xfId="0" applyFont="1" applyFill="1" applyBorder="1" applyAlignment="1">
      <alignment horizontal="left" vertical="center"/>
    </xf>
    <xf numFmtId="0" fontId="36" fillId="24" borderId="96" xfId="0" applyFont="1" applyFill="1" applyBorder="1" applyAlignment="1">
      <alignment horizontal="right" vertical="center"/>
    </xf>
    <xf numFmtId="0" fontId="36" fillId="24" borderId="97" xfId="0" applyFont="1" applyFill="1" applyBorder="1" applyAlignment="1">
      <alignment horizontal="left" vertical="center"/>
    </xf>
    <xf numFmtId="0" fontId="36" fillId="24" borderId="98" xfId="0" applyFont="1" applyFill="1" applyBorder="1" applyAlignment="1">
      <alignment horizontal="left" vertical="center"/>
    </xf>
    <xf numFmtId="0" fontId="50" fillId="7" borderId="0" xfId="0" applyFont="1" applyFill="1" applyAlignment="1">
      <alignment vertical="center"/>
    </xf>
    <xf numFmtId="0" fontId="0" fillId="22" borderId="0" xfId="0" applyFill="1" applyAlignment="1">
      <alignment horizontal="left" vertical="top"/>
    </xf>
    <xf numFmtId="0" fontId="0" fillId="22" borderId="65" xfId="0" applyFill="1" applyBorder="1" applyAlignment="1">
      <alignment horizontal="left" vertical="top"/>
    </xf>
    <xf numFmtId="0" fontId="0" fillId="22" borderId="66" xfId="0" applyFill="1" applyBorder="1" applyAlignment="1">
      <alignment horizontal="left" vertical="top"/>
    </xf>
    <xf numFmtId="0" fontId="0" fillId="22" borderId="73" xfId="0" applyFill="1" applyBorder="1" applyAlignment="1">
      <alignment horizontal="left" vertical="top"/>
    </xf>
    <xf numFmtId="0" fontId="0" fillId="0" borderId="100" xfId="0" applyBorder="1" applyAlignment="1">
      <alignment horizontal="left" vertical="top"/>
    </xf>
    <xf numFmtId="0" fontId="0" fillId="0" borderId="101" xfId="0" applyBorder="1" applyAlignment="1">
      <alignment horizontal="left" vertical="top"/>
    </xf>
    <xf numFmtId="0" fontId="0" fillId="9" borderId="0" xfId="0" applyFill="1" applyAlignment="1">
      <alignment horizontal="left" vertical="top"/>
    </xf>
    <xf numFmtId="0" fontId="38" fillId="9" borderId="0" xfId="0" applyFont="1" applyFill="1" applyAlignment="1">
      <alignment vertical="top"/>
    </xf>
    <xf numFmtId="0" fontId="35" fillId="9" borderId="0" xfId="0" applyFont="1" applyFill="1" applyAlignment="1">
      <alignment horizontal="center" vertical="top"/>
    </xf>
    <xf numFmtId="0" fontId="35" fillId="9" borderId="0" xfId="0" applyFont="1" applyFill="1" applyAlignment="1">
      <alignment horizontal="right" vertical="top"/>
    </xf>
    <xf numFmtId="0" fontId="38" fillId="9" borderId="0" xfId="0" applyFont="1" applyFill="1" applyAlignment="1">
      <alignment horizontal="right" vertical="top"/>
    </xf>
    <xf numFmtId="0" fontId="0" fillId="7" borderId="69" xfId="0" applyFill="1" applyBorder="1" applyAlignment="1">
      <alignment horizontal="left" vertical="top"/>
    </xf>
    <xf numFmtId="0" fontId="0" fillId="7" borderId="70" xfId="0" applyFill="1" applyBorder="1" applyAlignment="1">
      <alignment horizontal="left" vertical="top"/>
    </xf>
    <xf numFmtId="0" fontId="0" fillId="7" borderId="102" xfId="0" applyFill="1" applyBorder="1" applyAlignment="1">
      <alignment horizontal="left" vertical="top"/>
    </xf>
    <xf numFmtId="0" fontId="0" fillId="7" borderId="103" xfId="0" applyFill="1" applyBorder="1" applyAlignment="1">
      <alignment horizontal="left" vertical="top"/>
    </xf>
    <xf numFmtId="0" fontId="0" fillId="7" borderId="71" xfId="0" applyFill="1" applyBorder="1" applyAlignment="1">
      <alignment horizontal="left" vertical="top"/>
    </xf>
    <xf numFmtId="0" fontId="0" fillId="7" borderId="100" xfId="0" applyFill="1" applyBorder="1" applyAlignment="1">
      <alignment horizontal="left" vertical="top"/>
    </xf>
    <xf numFmtId="0" fontId="0" fillId="7" borderId="72" xfId="0" applyFill="1" applyBorder="1" applyAlignment="1">
      <alignment horizontal="left" vertical="top"/>
    </xf>
    <xf numFmtId="164" fontId="36" fillId="10" borderId="0" xfId="0" applyNumberFormat="1" applyFont="1" applyFill="1" applyAlignment="1">
      <alignment horizontal="center" vertical="center"/>
    </xf>
    <xf numFmtId="164" fontId="36" fillId="10" borderId="0" xfId="0" applyNumberFormat="1" applyFont="1" applyFill="1" applyAlignment="1">
      <alignment horizontal="center" vertical="top"/>
    </xf>
    <xf numFmtId="164" fontId="35" fillId="10" borderId="0" xfId="0" applyNumberFormat="1" applyFont="1" applyFill="1" applyAlignment="1">
      <alignment horizontal="center" vertical="top"/>
    </xf>
    <xf numFmtId="0" fontId="43" fillId="7" borderId="70" xfId="0" applyFont="1" applyFill="1" applyBorder="1" applyAlignment="1">
      <alignment vertical="center"/>
    </xf>
    <xf numFmtId="0" fontId="43" fillId="7" borderId="103" xfId="0" applyFont="1" applyFill="1" applyBorder="1" applyAlignment="1">
      <alignment vertical="center"/>
    </xf>
    <xf numFmtId="0" fontId="48" fillId="7" borderId="103" xfId="0" applyFont="1" applyFill="1" applyBorder="1" applyAlignment="1">
      <alignment vertical="center"/>
    </xf>
    <xf numFmtId="0" fontId="35" fillId="7" borderId="103" xfId="0" applyFont="1" applyFill="1" applyBorder="1" applyAlignment="1">
      <alignment horizontal="center"/>
    </xf>
    <xf numFmtId="0" fontId="36" fillId="7" borderId="103" xfId="0" applyFont="1" applyFill="1" applyBorder="1" applyAlignment="1">
      <alignment horizontal="center"/>
    </xf>
    <xf numFmtId="0" fontId="36" fillId="7" borderId="103" xfId="0" applyFont="1" applyFill="1" applyBorder="1" applyAlignment="1">
      <alignment horizontal="right" vertical="center"/>
    </xf>
    <xf numFmtId="0" fontId="36" fillId="7" borderId="103" xfId="0" applyFont="1" applyFill="1" applyBorder="1" applyAlignment="1">
      <alignment vertical="center"/>
    </xf>
    <xf numFmtId="0" fontId="36" fillId="7" borderId="103" xfId="0" applyFont="1" applyFill="1" applyBorder="1" applyAlignment="1">
      <alignment horizontal="center" vertical="center"/>
    </xf>
    <xf numFmtId="0" fontId="32" fillId="7" borderId="100" xfId="0" applyFont="1" applyFill="1" applyBorder="1" applyAlignment="1">
      <alignment horizontal="left" vertical="center"/>
    </xf>
    <xf numFmtId="0" fontId="32" fillId="22" borderId="0" xfId="0" applyFont="1" applyFill="1" applyAlignment="1">
      <alignment horizontal="left" vertical="center"/>
    </xf>
    <xf numFmtId="0" fontId="50" fillId="7" borderId="102" xfId="0" applyFont="1" applyFill="1" applyBorder="1" applyAlignment="1">
      <alignment vertical="center"/>
    </xf>
    <xf numFmtId="0" fontId="50" fillId="7" borderId="103" xfId="0" applyFont="1" applyFill="1" applyBorder="1" applyAlignment="1">
      <alignment vertical="center"/>
    </xf>
    <xf numFmtId="0" fontId="32" fillId="0" borderId="68" xfId="0" applyFont="1" applyBorder="1" applyAlignment="1">
      <alignment horizontal="left" vertical="center"/>
    </xf>
    <xf numFmtId="0" fontId="32" fillId="7" borderId="102" xfId="0" applyFont="1" applyFill="1" applyBorder="1" applyAlignment="1">
      <alignment horizontal="left" vertical="center"/>
    </xf>
    <xf numFmtId="0" fontId="23" fillId="4" borderId="104" xfId="0" applyFont="1" applyFill="1" applyBorder="1" applyAlignment="1">
      <alignment horizontal="center" vertical="top"/>
    </xf>
    <xf numFmtId="0" fontId="23" fillId="8" borderId="104" xfId="0" applyFont="1" applyFill="1" applyBorder="1" applyAlignment="1">
      <alignment horizontal="center" vertical="center"/>
    </xf>
    <xf numFmtId="164" fontId="23" fillId="8" borderId="104" xfId="0" applyNumberFormat="1" applyFont="1" applyFill="1" applyBorder="1" applyAlignment="1">
      <alignment horizontal="center" vertical="center"/>
    </xf>
    <xf numFmtId="0" fontId="23" fillId="4" borderId="105" xfId="0" applyFont="1" applyFill="1" applyBorder="1" applyAlignment="1">
      <alignment horizontal="center" vertical="top"/>
    </xf>
    <xf numFmtId="0" fontId="23" fillId="4" borderId="106" xfId="0" applyFont="1" applyFill="1" applyBorder="1" applyAlignment="1">
      <alignment horizontal="center" vertical="top"/>
    </xf>
    <xf numFmtId="0" fontId="23" fillId="8" borderId="106" xfId="0" applyFont="1" applyFill="1" applyBorder="1" applyAlignment="1">
      <alignment horizontal="center" vertical="center"/>
    </xf>
    <xf numFmtId="164" fontId="23" fillId="8" borderId="106" xfId="0" applyNumberFormat="1" applyFont="1" applyFill="1" applyBorder="1" applyAlignment="1">
      <alignment horizontal="center" vertical="center"/>
    </xf>
    <xf numFmtId="0" fontId="23" fillId="8" borderId="105" xfId="0" applyFont="1" applyFill="1" applyBorder="1" applyAlignment="1">
      <alignment horizontal="center" vertical="center"/>
    </xf>
    <xf numFmtId="164" fontId="23" fillId="8" borderId="105" xfId="0" applyNumberFormat="1" applyFont="1" applyFill="1" applyBorder="1" applyAlignment="1">
      <alignment horizontal="center" vertical="center"/>
    </xf>
    <xf numFmtId="0" fontId="2" fillId="3" borderId="2" xfId="0" applyFont="1" applyFill="1" applyBorder="1" applyAlignment="1">
      <alignment horizontal="left" vertical="top" wrapText="1"/>
    </xf>
    <xf numFmtId="0" fontId="2" fillId="3" borderId="3" xfId="0" applyFont="1" applyFill="1" applyBorder="1" applyAlignment="1">
      <alignment horizontal="left" vertical="top" wrapText="1"/>
    </xf>
    <xf numFmtId="0" fontId="2" fillId="3" borderId="4" xfId="0" applyFont="1" applyFill="1" applyBorder="1" applyAlignment="1">
      <alignment horizontal="left" vertical="top"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3" borderId="2" xfId="0" applyFill="1" applyBorder="1" applyAlignment="1">
      <alignment horizontal="left" vertical="top" wrapText="1"/>
    </xf>
    <xf numFmtId="0" fontId="0" fillId="3" borderId="3" xfId="0" applyFill="1" applyBorder="1" applyAlignment="1">
      <alignment horizontal="left" vertical="top" wrapText="1"/>
    </xf>
    <xf numFmtId="0" fontId="0" fillId="3" borderId="4" xfId="0" applyFill="1" applyBorder="1" applyAlignment="1">
      <alignment horizontal="left" vertical="top" wrapText="1"/>
    </xf>
    <xf numFmtId="0" fontId="4" fillId="3" borderId="2" xfId="0" applyFont="1" applyFill="1" applyBorder="1" applyAlignment="1">
      <alignment horizontal="left" vertical="top" wrapText="1"/>
    </xf>
    <xf numFmtId="0" fontId="0" fillId="0" borderId="0" xfId="0" applyAlignment="1">
      <alignment horizontal="left" vertical="top" wrapText="1" indent="1"/>
    </xf>
    <xf numFmtId="0" fontId="15" fillId="4" borderId="0" xfId="0" applyFont="1" applyFill="1" applyAlignment="1">
      <alignment horizontal="left" vertical="top"/>
    </xf>
    <xf numFmtId="0" fontId="10" fillId="4" borderId="0" xfId="0" applyFont="1" applyFill="1" applyAlignment="1">
      <alignment horizontal="left" vertical="top"/>
    </xf>
    <xf numFmtId="0" fontId="50" fillId="7" borderId="0" xfId="0" applyFont="1" applyFill="1" applyAlignment="1">
      <alignment horizontal="center" vertical="center"/>
    </xf>
    <xf numFmtId="0" fontId="36" fillId="24" borderId="62" xfId="0" applyFont="1" applyFill="1" applyBorder="1" applyAlignment="1">
      <alignment horizontal="left" vertical="center"/>
    </xf>
    <xf numFmtId="0" fontId="36" fillId="24" borderId="63" xfId="0" applyFont="1" applyFill="1" applyBorder="1" applyAlignment="1">
      <alignment horizontal="left" vertical="center"/>
    </xf>
    <xf numFmtId="0" fontId="36" fillId="24" borderId="64" xfId="0" applyFont="1" applyFill="1" applyBorder="1" applyAlignment="1">
      <alignment horizontal="left" vertical="center"/>
    </xf>
    <xf numFmtId="0" fontId="50" fillId="5" borderId="0" xfId="0" applyFont="1" applyFill="1" applyAlignment="1">
      <alignment horizontal="center" vertical="center"/>
    </xf>
    <xf numFmtId="0" fontId="29" fillId="6" borderId="0" xfId="0" applyFont="1" applyFill="1" applyAlignment="1">
      <alignment horizontal="center" vertical="center"/>
    </xf>
    <xf numFmtId="0" fontId="29" fillId="11" borderId="0" xfId="0" applyFont="1" applyFill="1" applyAlignment="1">
      <alignment horizontal="center" vertical="center"/>
    </xf>
    <xf numFmtId="0" fontId="50" fillId="7" borderId="99" xfId="0" applyFont="1" applyFill="1" applyBorder="1" applyAlignment="1">
      <alignment horizontal="center" vertical="center"/>
    </xf>
    <xf numFmtId="0" fontId="48" fillId="23" borderId="0" xfId="0" applyFont="1" applyFill="1" applyAlignment="1">
      <alignment horizontal="center" vertical="center"/>
    </xf>
    <xf numFmtId="0" fontId="49" fillId="23" borderId="0" xfId="0" applyFont="1" applyFill="1" applyAlignment="1">
      <alignment horizontal="center" vertical="center"/>
    </xf>
    <xf numFmtId="164" fontId="28" fillId="4" borderId="78" xfId="0" applyNumberFormat="1" applyFont="1" applyFill="1" applyBorder="1" applyAlignment="1">
      <alignment horizontal="center" vertical="center"/>
    </xf>
    <xf numFmtId="164" fontId="28" fillId="4" borderId="83" xfId="0" applyNumberFormat="1" applyFont="1" applyFill="1" applyBorder="1" applyAlignment="1">
      <alignment horizontal="center" vertical="center"/>
    </xf>
    <xf numFmtId="0" fontId="30" fillId="7" borderId="110" xfId="0" applyFont="1" applyFill="1" applyBorder="1" applyAlignment="1">
      <alignment horizontal="right" vertical="top"/>
    </xf>
    <xf numFmtId="0" fontId="30" fillId="7" borderId="111" xfId="0" applyFont="1" applyFill="1" applyBorder="1" applyAlignment="1">
      <alignment horizontal="center" vertical="top"/>
    </xf>
    <xf numFmtId="0" fontId="30" fillId="7" borderId="112" xfId="0" applyFont="1" applyFill="1" applyBorder="1" applyAlignment="1">
      <alignment horizontal="center" vertical="top"/>
    </xf>
    <xf numFmtId="0" fontId="23" fillId="6" borderId="113" xfId="0" applyFont="1" applyFill="1" applyBorder="1" applyAlignment="1">
      <alignment horizontal="right" vertical="center"/>
    </xf>
    <xf numFmtId="0" fontId="23" fillId="6" borderId="114" xfId="0" applyFont="1" applyFill="1" applyBorder="1" applyAlignment="1">
      <alignment horizontal="right" vertical="center"/>
    </xf>
    <xf numFmtId="164" fontId="23" fillId="8" borderId="115" xfId="0" applyNumberFormat="1" applyFont="1" applyFill="1" applyBorder="1" applyAlignment="1">
      <alignment horizontal="center" vertical="center"/>
    </xf>
    <xf numFmtId="0" fontId="23" fillId="6" borderId="116" xfId="0" applyFont="1" applyFill="1" applyBorder="1" applyAlignment="1">
      <alignment horizontal="right" vertical="center"/>
    </xf>
    <xf numFmtId="164" fontId="23" fillId="8" borderId="117" xfId="0" applyNumberFormat="1" applyFont="1" applyFill="1" applyBorder="1" applyAlignment="1">
      <alignment horizontal="center" vertical="center"/>
    </xf>
    <xf numFmtId="164" fontId="23" fillId="8" borderId="118" xfId="0" applyNumberFormat="1" applyFont="1" applyFill="1" applyBorder="1" applyAlignment="1">
      <alignment horizontal="center" vertical="center"/>
    </xf>
    <xf numFmtId="0" fontId="25" fillId="17" borderId="113" xfId="0" applyFont="1" applyFill="1" applyBorder="1" applyAlignment="1">
      <alignment horizontal="right" vertical="top"/>
    </xf>
    <xf numFmtId="164" fontId="23" fillId="4" borderId="16" xfId="0" applyNumberFormat="1" applyFont="1" applyFill="1" applyBorder="1" applyAlignment="1">
      <alignment horizontal="center" vertical="center"/>
    </xf>
    <xf numFmtId="0" fontId="25" fillId="17" borderId="114" xfId="0" applyFont="1" applyFill="1" applyBorder="1" applyAlignment="1">
      <alignment horizontal="right" vertical="top"/>
    </xf>
    <xf numFmtId="164" fontId="23" fillId="4" borderId="115" xfId="0" applyNumberFormat="1" applyFont="1" applyFill="1" applyBorder="1" applyAlignment="1">
      <alignment horizontal="center" vertical="center"/>
    </xf>
    <xf numFmtId="0" fontId="25" fillId="17" borderId="119" xfId="0" applyFont="1" applyFill="1" applyBorder="1" applyAlignment="1">
      <alignment horizontal="right" vertical="top"/>
    </xf>
    <xf numFmtId="164" fontId="23" fillId="4" borderId="120" xfId="0" applyNumberFormat="1" applyFont="1" applyFill="1" applyBorder="1" applyAlignment="1">
      <alignment horizontal="center" vertical="center"/>
    </xf>
    <xf numFmtId="0" fontId="30" fillId="16" borderId="121" xfId="0" applyFont="1" applyFill="1" applyBorder="1" applyAlignment="1">
      <alignment horizontal="right" vertical="top"/>
    </xf>
    <xf numFmtId="164" fontId="31" fillId="16" borderId="122" xfId="0" applyNumberFormat="1" applyFont="1" applyFill="1" applyBorder="1" applyAlignment="1">
      <alignment horizontal="center" vertical="top"/>
    </xf>
    <xf numFmtId="164" fontId="31" fillId="16" borderId="123" xfId="0" applyNumberFormat="1" applyFont="1" applyFill="1" applyBorder="1" applyAlignment="1">
      <alignment horizontal="center" vertical="top"/>
    </xf>
    <xf numFmtId="0" fontId="30" fillId="16" borderId="110" xfId="0" applyFont="1" applyFill="1" applyBorder="1" applyAlignment="1">
      <alignment horizontal="right" vertical="top"/>
    </xf>
    <xf numFmtId="0" fontId="30" fillId="16" borderId="111" xfId="0" applyFont="1" applyFill="1" applyBorder="1" applyAlignment="1">
      <alignment horizontal="center" vertical="top"/>
    </xf>
    <xf numFmtId="0" fontId="30" fillId="16" borderId="112" xfId="0" applyFont="1" applyFill="1" applyBorder="1" applyAlignment="1">
      <alignment horizontal="center" vertical="top"/>
    </xf>
    <xf numFmtId="0" fontId="25" fillId="17" borderId="124" xfId="0" applyFont="1" applyFill="1" applyBorder="1" applyAlignment="1">
      <alignment horizontal="right" vertical="top"/>
    </xf>
    <xf numFmtId="0" fontId="27" fillId="17" borderId="125" xfId="0" applyFont="1" applyFill="1" applyBorder="1" applyAlignment="1">
      <alignment horizontal="right" vertical="top"/>
    </xf>
    <xf numFmtId="0" fontId="30" fillId="7" borderId="127" xfId="0" applyFont="1" applyFill="1" applyBorder="1" applyAlignment="1">
      <alignment horizontal="right" vertical="top"/>
    </xf>
    <xf numFmtId="0" fontId="30" fillId="7" borderId="128" xfId="0" applyFont="1" applyFill="1" applyBorder="1" applyAlignment="1">
      <alignment horizontal="center" vertical="top"/>
    </xf>
    <xf numFmtId="0" fontId="30" fillId="7" borderId="129" xfId="0" applyFont="1" applyFill="1" applyBorder="1" applyAlignment="1">
      <alignment horizontal="center" vertical="top"/>
    </xf>
    <xf numFmtId="0" fontId="25" fillId="6" borderId="130" xfId="0" applyFont="1" applyFill="1" applyBorder="1" applyAlignment="1">
      <alignment horizontal="right" vertical="center"/>
    </xf>
    <xf numFmtId="0" fontId="25" fillId="17" borderId="131" xfId="0" applyFont="1" applyFill="1" applyBorder="1" applyAlignment="1">
      <alignment horizontal="right" vertical="top"/>
    </xf>
    <xf numFmtId="0" fontId="25" fillId="17" borderId="132" xfId="0" applyFont="1" applyFill="1" applyBorder="1" applyAlignment="1">
      <alignment horizontal="right" vertical="top"/>
    </xf>
    <xf numFmtId="164" fontId="23" fillId="4" borderId="126" xfId="0" applyNumberFormat="1" applyFont="1" applyFill="1" applyBorder="1" applyAlignment="1">
      <alignment horizontal="center" vertical="center"/>
    </xf>
    <xf numFmtId="0" fontId="30" fillId="16" borderId="133" xfId="0" applyFont="1" applyFill="1" applyBorder="1" applyAlignment="1">
      <alignment horizontal="right" vertical="top"/>
    </xf>
    <xf numFmtId="164" fontId="31" fillId="16" borderId="134" xfId="0" applyNumberFormat="1" applyFont="1" applyFill="1" applyBorder="1" applyAlignment="1">
      <alignment horizontal="center" vertical="top"/>
    </xf>
    <xf numFmtId="164" fontId="31" fillId="16" borderId="135" xfId="0" applyNumberFormat="1" applyFont="1" applyFill="1" applyBorder="1" applyAlignment="1">
      <alignment horizontal="center" vertical="top"/>
    </xf>
    <xf numFmtId="0" fontId="25" fillId="6" borderId="131" xfId="0" applyFont="1" applyFill="1" applyBorder="1" applyAlignment="1">
      <alignment horizontal="right" vertical="center"/>
    </xf>
    <xf numFmtId="0" fontId="25" fillId="6" borderId="114" xfId="0" applyFont="1" applyFill="1" applyBorder="1" applyAlignment="1">
      <alignment horizontal="right" vertical="center"/>
    </xf>
    <xf numFmtId="0" fontId="23" fillId="8" borderId="115" xfId="0" applyFont="1" applyFill="1" applyBorder="1" applyAlignment="1">
      <alignment horizontal="center" vertical="center"/>
    </xf>
    <xf numFmtId="0" fontId="25" fillId="6" borderId="132" xfId="0" applyFont="1" applyFill="1" applyBorder="1" applyAlignment="1">
      <alignment horizontal="right" vertical="center"/>
    </xf>
    <xf numFmtId="0" fontId="23" fillId="8" borderId="126" xfId="0" applyFont="1" applyFill="1" applyBorder="1" applyAlignment="1">
      <alignment horizontal="center" vertical="center"/>
    </xf>
    <xf numFmtId="0" fontId="23" fillId="0" borderId="0" xfId="0" applyFont="1" applyBorder="1" applyAlignment="1">
      <alignment horizontal="left" vertical="top"/>
    </xf>
    <xf numFmtId="0" fontId="23" fillId="0" borderId="136" xfId="0" applyFont="1" applyBorder="1" applyAlignment="1">
      <alignment horizontal="left" vertical="top"/>
    </xf>
    <xf numFmtId="0" fontId="23" fillId="4" borderId="138" xfId="0" applyFont="1" applyFill="1" applyBorder="1" applyAlignment="1">
      <alignment horizontal="center" vertical="center"/>
    </xf>
    <xf numFmtId="0" fontId="0" fillId="0" borderId="0" xfId="0" applyBorder="1" applyAlignment="1">
      <alignment horizontal="left" vertical="top"/>
    </xf>
    <xf numFmtId="0" fontId="0" fillId="0" borderId="136" xfId="0" applyBorder="1" applyAlignment="1">
      <alignment horizontal="left" vertical="top"/>
    </xf>
    <xf numFmtId="0" fontId="26" fillId="0" borderId="139" xfId="0" applyFont="1" applyBorder="1" applyAlignment="1">
      <alignment horizontal="center" vertical="top"/>
    </xf>
    <xf numFmtId="0" fontId="24" fillId="9" borderId="0" xfId="0" applyFont="1" applyFill="1" applyBorder="1" applyAlignment="1">
      <alignment horizontal="left" vertical="top"/>
    </xf>
    <xf numFmtId="0" fontId="27" fillId="9" borderId="0" xfId="0" applyFont="1" applyFill="1" applyBorder="1" applyAlignment="1">
      <alignment vertical="top"/>
    </xf>
    <xf numFmtId="0" fontId="25" fillId="9" borderId="0" xfId="0" applyFont="1" applyFill="1" applyBorder="1" applyAlignment="1">
      <alignment horizontal="right" vertical="top"/>
    </xf>
    <xf numFmtId="0" fontId="27" fillId="9" borderId="0" xfId="0" applyFont="1" applyFill="1" applyBorder="1" applyAlignment="1">
      <alignment horizontal="right" vertical="top"/>
    </xf>
    <xf numFmtId="0" fontId="23" fillId="0" borderId="12" xfId="0" applyFont="1" applyBorder="1" applyAlignment="1">
      <alignment horizontal="left" vertical="top"/>
    </xf>
    <xf numFmtId="2" fontId="23" fillId="0" borderId="13" xfId="0" applyNumberFormat="1" applyFont="1" applyBorder="1" applyAlignment="1">
      <alignment horizontal="left" vertical="top"/>
    </xf>
    <xf numFmtId="0" fontId="23" fillId="0" borderId="139" xfId="0" applyFont="1" applyBorder="1" applyAlignment="1">
      <alignment horizontal="left" vertical="top"/>
    </xf>
    <xf numFmtId="2" fontId="23" fillId="0" borderId="140" xfId="0" applyNumberFormat="1" applyFont="1" applyBorder="1" applyAlignment="1">
      <alignment horizontal="left" vertical="top"/>
    </xf>
    <xf numFmtId="0" fontId="23" fillId="0" borderId="137" xfId="0" applyFont="1" applyBorder="1" applyAlignment="1">
      <alignment horizontal="left" vertical="top"/>
    </xf>
    <xf numFmtId="2" fontId="23" fillId="0" borderId="141" xfId="0" applyNumberFormat="1" applyFont="1" applyBorder="1" applyAlignment="1">
      <alignment horizontal="left" vertical="top"/>
    </xf>
    <xf numFmtId="0" fontId="23" fillId="4" borderId="142" xfId="0" applyFont="1" applyFill="1" applyBorder="1" applyAlignment="1">
      <alignment horizontal="center" vertical="top"/>
    </xf>
    <xf numFmtId="164" fontId="23" fillId="8" borderId="142" xfId="0" applyNumberFormat="1" applyFont="1" applyFill="1" applyBorder="1" applyAlignment="1">
      <alignment horizontal="center" vertical="center"/>
    </xf>
    <xf numFmtId="0" fontId="23" fillId="8" borderId="142" xfId="0" applyFont="1" applyFill="1" applyBorder="1" applyAlignment="1">
      <alignment horizontal="center" vertical="center"/>
    </xf>
    <xf numFmtId="0" fontId="24" fillId="0" borderId="0" xfId="0" applyFont="1" applyBorder="1" applyAlignment="1">
      <alignment horizontal="left" vertical="top"/>
    </xf>
    <xf numFmtId="0" fontId="24" fillId="0" borderId="136" xfId="0" applyFont="1" applyBorder="1" applyAlignment="1">
      <alignment horizontal="left" vertical="top"/>
    </xf>
    <xf numFmtId="0" fontId="24" fillId="0" borderId="139" xfId="0" applyFont="1" applyBorder="1" applyAlignment="1">
      <alignment horizontal="left" vertical="top"/>
    </xf>
    <xf numFmtId="0" fontId="30" fillId="16" borderId="121" xfId="0" applyFont="1" applyFill="1" applyBorder="1" applyAlignment="1">
      <alignment horizontal="right" vertical="center"/>
    </xf>
    <xf numFmtId="0" fontId="30" fillId="7" borderId="121" xfId="0" applyFont="1" applyFill="1" applyBorder="1" applyAlignment="1">
      <alignment horizontal="right" vertical="top"/>
    </xf>
    <xf numFmtId="164" fontId="31" fillId="7" borderId="122" xfId="0" applyNumberFormat="1" applyFont="1" applyFill="1" applyBorder="1" applyAlignment="1">
      <alignment horizontal="center" vertical="top"/>
    </xf>
    <xf numFmtId="164" fontId="31" fillId="7" borderId="123" xfId="0" applyNumberFormat="1" applyFont="1" applyFill="1" applyBorder="1" applyAlignment="1">
      <alignment horizontal="center" vertical="top"/>
    </xf>
    <xf numFmtId="0" fontId="30" fillId="16" borderId="143" xfId="0" applyFont="1" applyFill="1" applyBorder="1" applyAlignment="1">
      <alignment horizontal="center" vertical="top"/>
    </xf>
    <xf numFmtId="0" fontId="30" fillId="7" borderId="143" xfId="0" applyFont="1" applyFill="1" applyBorder="1" applyAlignment="1">
      <alignment horizontal="center" vertical="top"/>
    </xf>
    <xf numFmtId="0" fontId="30" fillId="7" borderId="144" xfId="0" applyFont="1" applyFill="1" applyBorder="1" applyAlignment="1">
      <alignment horizontal="center" vertical="top"/>
    </xf>
    <xf numFmtId="0" fontId="30" fillId="16" borderId="122" xfId="0" applyFont="1" applyFill="1" applyBorder="1" applyAlignment="1">
      <alignment horizontal="center" vertical="top"/>
    </xf>
    <xf numFmtId="0" fontId="30" fillId="16" borderId="123" xfId="0" applyFont="1" applyFill="1" applyBorder="1" applyAlignment="1">
      <alignment horizontal="center" vertical="top"/>
    </xf>
    <xf numFmtId="0" fontId="35" fillId="6" borderId="0" xfId="0" applyFont="1" applyFill="1" applyAlignment="1">
      <alignment horizontal="right" vertical="top"/>
    </xf>
    <xf numFmtId="0" fontId="36" fillId="8" borderId="0" xfId="0" applyFont="1" applyFill="1" applyAlignment="1">
      <alignment horizontal="center" vertical="top"/>
    </xf>
    <xf numFmtId="0" fontId="25" fillId="6" borderId="107" xfId="0" applyFont="1" applyFill="1" applyBorder="1" applyAlignment="1">
      <alignment horizontal="right" vertical="center"/>
    </xf>
    <xf numFmtId="0" fontId="25" fillId="6" borderId="108" xfId="0" applyFont="1" applyFill="1" applyBorder="1" applyAlignment="1">
      <alignment horizontal="right" vertical="center"/>
    </xf>
    <xf numFmtId="0" fontId="25" fillId="6" borderId="109" xfId="0" applyFont="1" applyFill="1" applyBorder="1" applyAlignment="1">
      <alignment horizontal="right" vertical="center"/>
    </xf>
    <xf numFmtId="0" fontId="25" fillId="17" borderId="107" xfId="0" applyFont="1" applyFill="1" applyBorder="1" applyAlignment="1">
      <alignment horizontal="right" vertical="center"/>
    </xf>
    <xf numFmtId="0" fontId="25" fillId="17" borderId="108" xfId="0" applyFont="1" applyFill="1" applyBorder="1" applyAlignment="1">
      <alignment horizontal="right" vertical="center"/>
    </xf>
    <xf numFmtId="0" fontId="25" fillId="17" borderId="109" xfId="0" applyFont="1" applyFill="1" applyBorder="1" applyAlignment="1">
      <alignment horizontal="right" vertical="center"/>
    </xf>
    <xf numFmtId="0" fontId="25" fillId="17" borderId="107" xfId="0" applyFont="1" applyFill="1" applyBorder="1" applyAlignment="1">
      <alignment horizontal="right" vertical="top"/>
    </xf>
    <xf numFmtId="0" fontId="25" fillId="17" borderId="108" xfId="0" applyFont="1" applyFill="1" applyBorder="1" applyAlignment="1">
      <alignment horizontal="right" vertical="top"/>
    </xf>
    <xf numFmtId="0" fontId="25" fillId="17" borderId="109" xfId="0" applyFont="1" applyFill="1" applyBorder="1" applyAlignment="1">
      <alignment horizontal="right" vertical="top"/>
    </xf>
    <xf numFmtId="164" fontId="9" fillId="4" borderId="0" xfId="0" applyNumberFormat="1" applyFont="1" applyFill="1" applyAlignment="1">
      <alignment horizontal="left" vertical="top"/>
    </xf>
    <xf numFmtId="164" fontId="11" fillId="4" borderId="0" xfId="0" applyNumberFormat="1" applyFont="1" applyFill="1" applyAlignment="1">
      <alignment horizontal="left" vertical="top"/>
    </xf>
    <xf numFmtId="164" fontId="8" fillId="4" borderId="0" xfId="0" applyNumberFormat="1" applyFont="1" applyFill="1" applyAlignment="1">
      <alignment horizontal="left" vertical="top"/>
    </xf>
    <xf numFmtId="164" fontId="8" fillId="0" borderId="6" xfId="0" applyNumberFormat="1" applyFont="1" applyBorder="1" applyAlignment="1">
      <alignment horizontal="left" vertical="top"/>
    </xf>
    <xf numFmtId="164" fontId="8" fillId="0" borderId="7" xfId="0" applyNumberFormat="1" applyFont="1" applyBorder="1" applyAlignment="1">
      <alignment horizontal="left" vertical="top"/>
    </xf>
    <xf numFmtId="0" fontId="19" fillId="0" borderId="0" xfId="0" applyFont="1" applyFill="1" applyAlignment="1">
      <alignment horizontal="left" vertical="center"/>
    </xf>
    <xf numFmtId="0" fontId="0" fillId="0" borderId="0" xfId="0" applyFill="1" applyAlignment="1">
      <alignment horizontal="left" vertical="top"/>
    </xf>
    <xf numFmtId="49" fontId="8" fillId="0" borderId="0" xfId="0" applyNumberFormat="1" applyFont="1" applyAlignment="1">
      <alignment horizontal="left" vertical="top"/>
    </xf>
    <xf numFmtId="0" fontId="36" fillId="8" borderId="0" xfId="0" applyFont="1" applyFill="1" applyAlignment="1">
      <alignment horizontal="left" vertical="center"/>
    </xf>
    <xf numFmtId="0" fontId="35" fillId="6" borderId="0" xfId="0" applyFont="1" applyFill="1" applyAlignment="1">
      <alignment horizontal="right" vertical="center"/>
    </xf>
    <xf numFmtId="0" fontId="0" fillId="22" borderId="67" xfId="0" applyFill="1" applyBorder="1" applyAlignment="1">
      <alignment horizontal="left" vertical="top"/>
    </xf>
    <xf numFmtId="0" fontId="0" fillId="7" borderId="0" xfId="0" applyFill="1" applyBorder="1" applyAlignment="1">
      <alignment horizontal="left" vertical="top"/>
    </xf>
    <xf numFmtId="0" fontId="36" fillId="8" borderId="0" xfId="0" applyFont="1" applyFill="1" applyAlignment="1">
      <alignment horizontal="right" vertical="top"/>
    </xf>
    <xf numFmtId="0" fontId="49" fillId="23" borderId="0" xfId="0" applyFont="1" applyFill="1" applyAlignment="1">
      <alignment vertical="center"/>
    </xf>
    <xf numFmtId="0" fontId="0" fillId="23" borderId="0" xfId="0" applyFill="1" applyBorder="1" applyAlignment="1">
      <alignment horizontal="left" vertical="top"/>
    </xf>
  </cellXfs>
  <cellStyles count="1">
    <cellStyle name="Normal" xfId="0" builtinId="0"/>
  </cellStyles>
  <dxfs count="357">
    <dxf>
      <fill>
        <patternFill>
          <bgColor theme="5" tint="0.79998168889431442"/>
        </patternFill>
      </fill>
    </dxf>
    <dxf>
      <font>
        <b val="0"/>
        <i/>
      </font>
    </dxf>
    <dxf>
      <font>
        <b val="0"/>
        <i/>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22"/>
        <color rgb="FF000000"/>
        <name val="Calibri"/>
        <family val="2"/>
        <scheme val="minor"/>
      </font>
      <numFmt numFmtId="2" formatCode="0.00"/>
      <alignment horizontal="left" vertical="top"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22"/>
        <color rgb="FF000000"/>
        <name val="Calibri"/>
        <family val="2"/>
        <scheme val="minor"/>
      </font>
      <alignment horizontal="left" vertical="top" textRotation="0" wrapText="0" indent="0" justifyLastLine="0" shrinkToFit="0" readingOrder="0"/>
      <border diagonalUp="0" diagonalDown="0">
        <left style="thin">
          <color indexed="64"/>
        </left>
        <right/>
        <top/>
        <bottom/>
        <vertical/>
        <horizontal/>
      </border>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numFmt numFmtId="164" formatCode="0.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b val="0"/>
        <i val="0"/>
        <strike val="0"/>
        <condense val="0"/>
        <extend val="0"/>
        <outline val="0"/>
        <shadow val="0"/>
        <u val="none"/>
        <vertAlign val="baseline"/>
        <sz val="2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2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border outline="0">
        <top style="thin">
          <color theme="6" tint="0.39997558519241921"/>
        </top>
      </border>
    </dxf>
    <dxf>
      <border outline="0">
        <left style="thin">
          <color theme="6" tint="0.39997558519241921"/>
        </left>
        <right style="thin">
          <color theme="6" tint="0.39997558519241921"/>
        </right>
        <top style="thin">
          <color theme="6" tint="0.39997558519241921"/>
        </top>
        <bottom style="thin">
          <color theme="6" tint="0.39997558519241921"/>
        </bottom>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dxf>
    <dxf>
      <border outline="0">
        <bottom style="thin">
          <color theme="6" tint="0.39997558519241921"/>
        </bottom>
      </border>
    </dxf>
    <dxf>
      <font>
        <b/>
        <i val="0"/>
        <strike val="0"/>
        <condense val="0"/>
        <extend val="0"/>
        <outline val="0"/>
        <shadow val="0"/>
        <u val="none"/>
        <vertAlign val="baseline"/>
        <sz val="12"/>
        <color theme="0"/>
        <name val="Calibri"/>
        <family val="2"/>
        <scheme val="minor"/>
      </font>
      <fill>
        <patternFill patternType="solid">
          <fgColor theme="6"/>
          <bgColor theme="6"/>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left" vertical="top" textRotation="0" wrapText="0" indent="0" justifyLastLine="0" shrinkToFit="0" readingOrder="0"/>
    </dxf>
    <dxf>
      <font>
        <b/>
        <i val="0"/>
        <strike val="0"/>
        <condense val="0"/>
        <extend val="0"/>
        <outline val="0"/>
        <shadow val="0"/>
        <u val="none"/>
        <vertAlign val="baseline"/>
        <sz val="16"/>
        <color theme="0"/>
        <name val="Calibri"/>
        <family val="2"/>
        <scheme val="minor"/>
      </font>
      <fill>
        <patternFill patternType="solid">
          <fgColor indexed="64"/>
          <bgColor theme="3" tint="0.39997558519241921"/>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i val="0"/>
        <strike val="0"/>
        <condense val="0"/>
        <extend val="0"/>
        <outline val="0"/>
        <shadow val="0"/>
        <u val="none"/>
        <vertAlign val="baseline"/>
        <sz val="16"/>
        <color theme="0"/>
        <name val="Calibri"/>
        <family val="2"/>
        <scheme val="minor"/>
      </font>
      <fill>
        <patternFill patternType="solid">
          <fgColor indexed="64"/>
          <bgColor theme="3" tint="0.39997558519241921"/>
        </patternFill>
      </fill>
      <alignment horizontal="center" vertical="top" textRotation="0" wrapText="0" indent="0" justifyLastLine="0" shrinkToFit="0" readingOrder="0"/>
    </dxf>
    <dxf>
      <font>
        <strike val="0"/>
        <outline val="0"/>
        <shadow val="0"/>
        <u val="none"/>
        <vertAlign val="baseline"/>
        <sz val="16"/>
        <name val="Calibri"/>
        <family val="2"/>
        <scheme val="minor"/>
      </font>
    </dxf>
    <dxf>
      <font>
        <strike val="0"/>
        <outline val="0"/>
        <shadow val="0"/>
        <u val="none"/>
        <vertAlign val="baseline"/>
        <sz val="16"/>
        <name val="Calibri"/>
        <family val="2"/>
        <scheme val="minor"/>
      </font>
    </dxf>
    <dxf>
      <border outline="0">
        <left style="thin">
          <color theme="7" tint="0.39997558519241921"/>
        </left>
        <right style="thin">
          <color theme="7" tint="0.39997558519241921"/>
        </right>
        <top style="thin">
          <color theme="7" tint="0.39997558519241921"/>
        </top>
        <bottom style="thin">
          <color theme="7" tint="0.39997558519241921"/>
        </bottom>
      </border>
    </dxf>
    <dxf>
      <font>
        <strike val="0"/>
        <outline val="0"/>
        <shadow val="0"/>
        <u val="none"/>
        <vertAlign val="baseline"/>
        <sz val="16"/>
        <name val="Calibri"/>
        <family val="2"/>
        <scheme val="minor"/>
      </font>
    </dxf>
    <dxf>
      <font>
        <b/>
        <i val="0"/>
        <strike val="0"/>
        <condense val="0"/>
        <extend val="0"/>
        <outline val="0"/>
        <shadow val="0"/>
        <u val="none"/>
        <vertAlign val="baseline"/>
        <sz val="16"/>
        <color theme="0"/>
        <name val="Calibri"/>
        <family val="2"/>
        <scheme val="minor"/>
      </font>
      <fill>
        <patternFill patternType="solid">
          <fgColor theme="7"/>
          <bgColor theme="7"/>
        </patternFill>
      </fill>
      <alignment horizontal="left" vertical="top" textRotation="0" wrapText="0" indent="0" justifyLastLine="0" shrinkToFit="0" readingOrder="0"/>
    </dxf>
    <dxf>
      <font>
        <strike val="0"/>
        <outline val="0"/>
        <shadow val="0"/>
        <u val="none"/>
        <vertAlign val="baseline"/>
        <sz val="16"/>
        <name val="Calibri"/>
        <family val="2"/>
        <scheme val="minor"/>
      </font>
    </dxf>
    <dxf>
      <font>
        <strike val="0"/>
        <outline val="0"/>
        <shadow val="0"/>
        <u val="none"/>
        <vertAlign val="baseline"/>
        <sz val="16"/>
        <name val="Calibri"/>
        <family val="2"/>
        <scheme val="minor"/>
      </font>
    </dxf>
    <dxf>
      <font>
        <strike val="0"/>
        <outline val="0"/>
        <shadow val="0"/>
        <u val="none"/>
        <vertAlign val="baseline"/>
        <sz val="16"/>
        <name val="Calibri"/>
        <family val="2"/>
        <scheme val="minor"/>
      </font>
    </dxf>
    <dxf>
      <border outline="0">
        <left style="thin">
          <color theme="7" tint="0.39997558519241921"/>
        </left>
        <right style="thin">
          <color theme="7" tint="0.39997558519241921"/>
        </right>
        <top style="thin">
          <color theme="7" tint="0.39997558519241921"/>
        </top>
        <bottom style="thin">
          <color theme="7" tint="0.39997558519241921"/>
        </bottom>
      </border>
    </dxf>
    <dxf>
      <font>
        <strike val="0"/>
        <outline val="0"/>
        <shadow val="0"/>
        <u val="none"/>
        <vertAlign val="baseline"/>
        <sz val="16"/>
        <name val="Calibri"/>
        <family val="2"/>
        <scheme val="minor"/>
      </font>
    </dxf>
    <dxf>
      <font>
        <b/>
        <i val="0"/>
        <strike val="0"/>
        <condense val="0"/>
        <extend val="0"/>
        <outline val="0"/>
        <shadow val="0"/>
        <u val="none"/>
        <vertAlign val="baseline"/>
        <sz val="16"/>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border diagonalUp="0" diagonalDown="0" outline="0">
        <left/>
        <right/>
        <top style="thin">
          <color theme="7" tint="0.39997558519241921"/>
        </top>
        <bottom/>
      </border>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border diagonalUp="0" diagonalDown="0" outline="0">
        <left/>
        <right/>
        <top style="thin">
          <color theme="7" tint="0.39997558519241921"/>
        </top>
        <bottom/>
      </border>
    </dxf>
    <dxf>
      <border outline="0">
        <left style="thin">
          <color theme="7" tint="0.39997558519241921"/>
        </left>
        <right style="thin">
          <color theme="7" tint="0.39997558519241921"/>
        </right>
        <top style="thin">
          <color theme="7" tint="0.39997558519241921"/>
        </top>
        <bottom style="thin">
          <color theme="7" tint="0.39997558519241921"/>
        </bottom>
      </border>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dxf>
    <dxf>
      <font>
        <b/>
        <i val="0"/>
        <strike val="0"/>
        <condense val="0"/>
        <extend val="0"/>
        <outline val="0"/>
        <shadow val="0"/>
        <u val="none"/>
        <vertAlign val="baseline"/>
        <sz val="16"/>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border diagonalUp="0" diagonalDown="0" outline="0">
        <left/>
        <right/>
        <top style="thin">
          <color theme="7" tint="0.39997558519241921"/>
        </top>
        <bottom/>
      </border>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border diagonalUp="0" diagonalDown="0" outline="0">
        <left/>
        <right/>
        <top style="thin">
          <color theme="7" tint="0.39997558519241921"/>
        </top>
        <bottom/>
      </border>
    </dxf>
    <dxf>
      <border outline="0">
        <left style="thin">
          <color theme="7" tint="0.39997558519241921"/>
        </left>
        <right style="thin">
          <color theme="7" tint="0.39997558519241921"/>
        </right>
        <top style="thin">
          <color theme="7" tint="0.39997558519241921"/>
        </top>
        <bottom style="thin">
          <color theme="7" tint="0.39997558519241921"/>
        </bottom>
      </border>
    </dxf>
    <dxf>
      <font>
        <b val="0"/>
        <i val="0"/>
        <strike val="0"/>
        <condense val="0"/>
        <extend val="0"/>
        <outline val="0"/>
        <shadow val="0"/>
        <u val="none"/>
        <vertAlign val="baseline"/>
        <sz val="16"/>
        <color theme="1"/>
        <name val="Calibri"/>
        <family val="2"/>
        <scheme val="minor"/>
      </font>
      <alignment horizontal="left" vertical="top" textRotation="0" wrapText="0" indent="0" justifyLastLine="0" shrinkToFit="0" readingOrder="0"/>
    </dxf>
    <dxf>
      <font>
        <b/>
        <i val="0"/>
        <strike val="0"/>
        <condense val="0"/>
        <extend val="0"/>
        <outline val="0"/>
        <shadow val="0"/>
        <u val="none"/>
        <vertAlign val="baseline"/>
        <sz val="16"/>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6"/>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border diagonalUp="0" diagonalDown="0" outline="0">
        <left/>
        <right/>
        <top style="thin">
          <color theme="7" tint="0.39997558519241921"/>
        </top>
        <bottom/>
      </border>
    </dxf>
    <dxf>
      <font>
        <b val="0"/>
        <i val="0"/>
        <strike val="0"/>
        <condense val="0"/>
        <extend val="0"/>
        <outline val="0"/>
        <shadow val="0"/>
        <u val="none"/>
        <vertAlign val="baseline"/>
        <sz val="16"/>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border diagonalUp="0" diagonalDown="0" outline="0">
        <left/>
        <right/>
        <top style="thin">
          <color theme="7" tint="0.39997558519241921"/>
        </top>
        <bottom/>
      </border>
    </dxf>
    <dxf>
      <font>
        <b val="0"/>
        <i val="0"/>
        <strike val="0"/>
        <condense val="0"/>
        <extend val="0"/>
        <outline val="0"/>
        <shadow val="0"/>
        <u val="none"/>
        <vertAlign val="baseline"/>
        <sz val="16"/>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border diagonalUp="0" diagonalDown="0" outline="0">
        <left/>
        <right/>
        <top style="thin">
          <color theme="7" tint="0.39997558519241921"/>
        </top>
        <bottom/>
      </border>
    </dxf>
    <dxf>
      <border outline="0">
        <left style="thin">
          <color theme="7" tint="0.39997558519241921"/>
        </left>
        <right style="thin">
          <color theme="7" tint="0.39997558519241921"/>
        </right>
        <top style="thin">
          <color theme="7" tint="0.39997558519241921"/>
        </top>
        <bottom style="thin">
          <color theme="7" tint="0.39997558519241921"/>
        </bottom>
      </border>
    </dxf>
    <dxf>
      <font>
        <b val="0"/>
        <i val="0"/>
        <strike val="0"/>
        <condense val="0"/>
        <extend val="0"/>
        <outline val="0"/>
        <shadow val="0"/>
        <u val="none"/>
        <vertAlign val="baseline"/>
        <sz val="16"/>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dxf>
    <dxf>
      <font>
        <b/>
        <i val="0"/>
        <strike val="0"/>
        <condense val="0"/>
        <extend val="0"/>
        <outline val="0"/>
        <shadow val="0"/>
        <u val="none"/>
        <vertAlign val="baseline"/>
        <sz val="16"/>
        <color theme="0"/>
        <name val="Calibri"/>
        <family val="2"/>
        <scheme val="minor"/>
      </font>
      <fill>
        <patternFill patternType="solid">
          <fgColor theme="7"/>
          <bgColor theme="7"/>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0"/>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0"/>
        <name val="Calibri"/>
        <family val="2"/>
        <scheme val="minor"/>
      </font>
      <fill>
        <patternFill patternType="none">
          <fgColor indexed="64"/>
          <bgColor indexed="65"/>
        </patternFill>
      </fill>
      <alignment horizontal="left" vertical="top" textRotation="0" wrapText="0" indent="0" justifyLastLine="0" shrinkToFit="0" readingOrder="0"/>
    </dxf>
  </dxfs>
  <tableStyles count="0" defaultTableStyle="TableStyleMedium9" defaultPivotStyle="PivotStyleLight16"/>
  <colors>
    <mruColors>
      <color rgb="FF4174B1"/>
      <color rgb="FFD3E2F5"/>
      <color rgb="FFE4EDF8"/>
      <color rgb="FFF7C1C1"/>
      <color rgb="FFB3CDED"/>
      <color rgb="FFB9D1EF"/>
      <color rgb="FFA6C5EA"/>
      <color rgb="FFB1CCED"/>
      <color rgb="FFBBD3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r>
              <a:rPr lang="en-US" sz="1000" baseline="0"/>
              <a:t>MACROS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4B8-4B92-B6AE-D22F0A01134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4B8-4B92-B6AE-D22F0A01134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4B8-4B92-B6AE-D22F0A011343}"/>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('Sandwich UI'!$AC$11,'Sandwich UI'!$AC$12,'Sandwich UI'!$AC$14)</c:f>
              <c:strCache>
                <c:ptCount val="3"/>
                <c:pt idx="0">
                  <c:v>Protein (g)</c:v>
                </c:pt>
                <c:pt idx="1">
                  <c:v>Fat, Total (g)</c:v>
                </c:pt>
                <c:pt idx="2">
                  <c:v>Carbohydrates (g)</c:v>
                </c:pt>
              </c:strCache>
            </c:strRef>
          </c:cat>
          <c:val>
            <c:numRef>
              <c:f>('Sandwich UI'!$AE$11,'Sandwich UI'!$AE$12,'Sandwich UI'!$AE$14)</c:f>
              <c:numCache>
                <c:formatCode>0.0</c:formatCode>
                <c:ptCount val="3"/>
                <c:pt idx="0">
                  <c:v>49.2</c:v>
                </c:pt>
                <c:pt idx="1">
                  <c:v>31.2</c:v>
                </c:pt>
                <c:pt idx="2">
                  <c:v>113.00000000000001</c:v>
                </c:pt>
              </c:numCache>
            </c:numRef>
          </c:val>
          <c:extLst>
            <c:ext xmlns:c16="http://schemas.microsoft.com/office/drawing/2014/chart" uri="{C3380CC4-5D6E-409C-BE32-E72D297353CC}">
              <c16:uniqueId val="{00000000-8F13-4F66-A4D2-06382CC63104}"/>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r>
              <a:rPr lang="en-US" sz="1000"/>
              <a:t>MACROS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466-4FC6-8756-DDF605CCFF1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466-4FC6-8756-DDF605CCFF1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466-4FC6-8756-DDF605CCFF1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('Sides UI'!$AB$12,'Sides UI'!$AB$13,'Sides UI'!$AB$15)</c:f>
              <c:strCache>
                <c:ptCount val="3"/>
                <c:pt idx="0">
                  <c:v>Protein (g)</c:v>
                </c:pt>
                <c:pt idx="1">
                  <c:v>Fat, Total (g)</c:v>
                </c:pt>
                <c:pt idx="2">
                  <c:v>Carbohydrates (g)</c:v>
                </c:pt>
              </c:strCache>
            </c:strRef>
          </c:cat>
          <c:val>
            <c:numRef>
              <c:f>('Sides UI'!$AD$12,'Sides UI'!$AD$13,'Sides UI'!$AD$15)</c:f>
              <c:numCache>
                <c:formatCode>0.0</c:formatCode>
                <c:ptCount val="3"/>
                <c:pt idx="0">
                  <c:v>12.6</c:v>
                </c:pt>
                <c:pt idx="1">
                  <c:v>31.2</c:v>
                </c:pt>
                <c:pt idx="2">
                  <c:v>105.3</c:v>
                </c:pt>
              </c:numCache>
            </c:numRef>
          </c:val>
          <c:extLst>
            <c:ext xmlns:c16="http://schemas.microsoft.com/office/drawing/2014/chart" uri="{C3380CC4-5D6E-409C-BE32-E72D297353CC}">
              <c16:uniqueId val="{00000004-B2E7-4D95-AD07-3193E298C57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rtl="0">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r>
              <a:rPr lang="en-NZ" sz="1100"/>
              <a:t>MACROS</a:t>
            </a:r>
          </a:p>
        </c:rich>
      </c:tx>
      <c:overlay val="0"/>
      <c:spPr>
        <a:noFill/>
        <a:ln>
          <a:noFill/>
        </a:ln>
        <a:effectLst/>
      </c:spPr>
      <c:txPr>
        <a:bodyPr rot="0" spcFirstLastPara="1" vertOverflow="ellipsis" vert="horz" wrap="square" anchor="ctr" anchorCtr="1"/>
        <a:lstStyle/>
        <a:p>
          <a:pPr>
            <a:defRPr sz="11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ED1-4DF7-B187-EEB74116B2F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ED1-4DF7-B187-EEB74116B2F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ED1-4DF7-B187-EEB74116B2F8}"/>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('Meal UI'!$O$15,'Meal UI'!$O$16,'Meal UI'!$O$18)</c:f>
              <c:strCache>
                <c:ptCount val="3"/>
                <c:pt idx="0">
                  <c:v>Protein (g)</c:v>
                </c:pt>
                <c:pt idx="1">
                  <c:v>Fat, Total (g)</c:v>
                </c:pt>
                <c:pt idx="2">
                  <c:v>Carbohydrates (g)</c:v>
                </c:pt>
              </c:strCache>
            </c:strRef>
          </c:cat>
          <c:val>
            <c:numRef>
              <c:f>('Meal UI'!$U$15,'Meal UI'!$U$16,'Meal UI'!$U$18)</c:f>
              <c:numCache>
                <c:formatCode>0.0</c:formatCode>
                <c:ptCount val="3"/>
                <c:pt idx="0">
                  <c:v>61.800000000000004</c:v>
                </c:pt>
                <c:pt idx="1">
                  <c:v>62.4</c:v>
                </c:pt>
                <c:pt idx="2">
                  <c:v>218.3</c:v>
                </c:pt>
              </c:numCache>
            </c:numRef>
          </c:val>
          <c:extLst>
            <c:ext xmlns:c16="http://schemas.microsoft.com/office/drawing/2014/chart" uri="{C3380CC4-5D6E-409C-BE32-E72D297353CC}">
              <c16:uniqueId val="{00000000-3A48-4A49-BAE3-5A8B1824754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Selections!$B$8" lockText="1" noThreeD="1"/>
</file>

<file path=xl/ctrlProps/ctrlProp2.xml><?xml version="1.0" encoding="utf-8"?>
<formControlPr xmlns="http://schemas.microsoft.com/office/spreadsheetml/2009/9/main" objectType="CheckBox" checked="Checked" fmlaLink="Selections!$B$9" lockText="1" noThreeD="1"/>
</file>

<file path=xl/ctrlProps/ctrlProp3.xml><?xml version="1.0" encoding="utf-8"?>
<formControlPr xmlns="http://schemas.microsoft.com/office/spreadsheetml/2009/9/main" objectType="CheckBox" fmlaLink="Selections!$B$10" lockText="1" noThreeD="1"/>
</file>

<file path=xl/ctrlProps/ctrlProp4.xml><?xml version="1.0" encoding="utf-8"?>
<formControlPr xmlns="http://schemas.microsoft.com/office/spreadsheetml/2009/9/main" objectType="CheckBox" fmlaLink="Selections!$B$11" lockText="1" noThreeD="1"/>
</file>

<file path=xl/ctrlProps/ctrlProp5.xml><?xml version="1.0" encoding="utf-8"?>
<formControlPr xmlns="http://schemas.microsoft.com/office/spreadsheetml/2009/9/main" objectType="CheckBox" checked="Checked" fmlaLink="Selections!$B$12" lockText="1" noThreeD="1"/>
</file>

<file path=xl/ctrlProps/ctrlProp6.xml><?xml version="1.0" encoding="utf-8"?>
<formControlPr xmlns="http://schemas.microsoft.com/office/spreadsheetml/2009/9/main" objectType="CheckBox" fmlaLink="Selections!$B$13" lockText="1" noThreeD="1"/>
</file>

<file path=xl/ctrlProps/ctrlProp7.xml><?xml version="1.0" encoding="utf-8"?>
<formControlPr xmlns="http://schemas.microsoft.com/office/spreadsheetml/2009/9/main" objectType="CheckBox" fmlaLink="Selections!$B$14" lockText="1" noThreeD="1"/>
</file>

<file path=xl/ctrlProps/ctrlProp8.xml><?xml version="1.0" encoding="utf-8"?>
<formControlPr xmlns="http://schemas.microsoft.com/office/spreadsheetml/2009/9/main" objectType="CheckBox" fmlaLink="Selections!$B$15" lockText="1" noThreeD="1"/>
</file>

<file path=xl/ctrlProps/ctrlProp9.xml><?xml version="1.0" encoding="utf-8"?>
<formControlPr xmlns="http://schemas.microsoft.com/office/spreadsheetml/2009/9/main" objectType="CheckBox" fmlaLink="Selections!$B$16" lockText="1" noThreeD="1"/>
</file>

<file path=xl/ctrlProps/ctrlProp10.xml><?xml version="1.0" encoding="utf-8"?>
<formControlPr xmlns="http://schemas.microsoft.com/office/spreadsheetml/2009/9/main" objectType="CheckBox" fmlaLink="Selections!$B$17" lockText="1" noThreeD="1"/>
</file>

<file path=xl/ctrlProps/ctrlProp11.xml><?xml version="1.0" encoding="utf-8"?>
<formControlPr xmlns="http://schemas.microsoft.com/office/spreadsheetml/2009/9/main" objectType="CheckBox" fmlaLink="Selections!$B$18" lockText="1" noThreeD="1"/>
</file>

<file path=xl/ctrlProps/ctrlProp12.xml><?xml version="1.0" encoding="utf-8"?>
<formControlPr xmlns="http://schemas.microsoft.com/office/spreadsheetml/2009/9/main" objectType="CheckBox" fmlaLink="Selections!$I$6" lockText="1" noThreeD="1"/>
</file>

<file path=xl/ctrlProps/ctrlProp13.xml><?xml version="1.0" encoding="utf-8"?>
<formControlPr xmlns="http://schemas.microsoft.com/office/spreadsheetml/2009/9/main" objectType="CheckBox" fmlaLink="Selections!$I$7" lockText="1" noThreeD="1"/>
</file>

<file path=xl/ctrlProps/ctrlProp14.xml><?xml version="1.0" encoding="utf-8"?>
<formControlPr xmlns="http://schemas.microsoft.com/office/spreadsheetml/2009/9/main" objectType="CheckBox" fmlaLink="Selections!$I$8" lockText="1" noThreeD="1"/>
</file>

<file path=xl/ctrlProps/ctrlProp15.xml><?xml version="1.0" encoding="utf-8"?>
<formControlPr xmlns="http://schemas.microsoft.com/office/spreadsheetml/2009/9/main" objectType="CheckBox" fmlaLink="Selections!$I$9" lockText="1" noThreeD="1"/>
</file>

<file path=xl/ctrlProps/ctrlProp16.xml><?xml version="1.0" encoding="utf-8"?>
<formControlPr xmlns="http://schemas.microsoft.com/office/spreadsheetml/2009/9/main" objectType="CheckBox" fmlaLink="Selections!$I$10" lockText="1" noThreeD="1"/>
</file>

<file path=xl/ctrlProps/ctrlProp17.xml><?xml version="1.0" encoding="utf-8"?>
<formControlPr xmlns="http://schemas.microsoft.com/office/spreadsheetml/2009/9/main" objectType="CheckBox" fmlaLink="Selections!$I$11" lockText="1" noThreeD="1"/>
</file>

<file path=xl/ctrlProps/ctrlProp18.xml><?xml version="1.0" encoding="utf-8"?>
<formControlPr xmlns="http://schemas.microsoft.com/office/spreadsheetml/2009/9/main" objectType="CheckBox" fmlaLink="Selections!$I$12" lockText="1" noThreeD="1"/>
</file>

<file path=xl/ctrlProps/ctrlProp19.xml><?xml version="1.0" encoding="utf-8"?>
<formControlPr xmlns="http://schemas.microsoft.com/office/spreadsheetml/2009/9/main" objectType="CheckBox" fmlaLink="Selections!$I$13" lockText="1" noThreeD="1"/>
</file>

<file path=xl/ctrlProps/ctrlProp20.xml><?xml version="1.0" encoding="utf-8"?>
<formControlPr xmlns="http://schemas.microsoft.com/office/spreadsheetml/2009/9/main" objectType="CheckBox" fmlaLink="Selections!$I$14" lockText="1" noThreeD="1"/>
</file>

<file path=xl/ctrlProps/ctrlProp21.xml><?xml version="1.0" encoding="utf-8"?>
<formControlPr xmlns="http://schemas.microsoft.com/office/spreadsheetml/2009/9/main" objectType="CheckBox" fmlaLink="Selections!$I$15" lockText="1" noThreeD="1"/>
</file>

<file path=xl/ctrlProps/ctrlProp22.xml><?xml version="1.0" encoding="utf-8"?>
<formControlPr xmlns="http://schemas.microsoft.com/office/spreadsheetml/2009/9/main" objectType="CheckBox" fmlaLink="Selections!$I$16" lockText="1" noThreeD="1"/>
</file>

<file path=xl/ctrlProps/ctrlProp23.xml><?xml version="1.0" encoding="utf-8"?>
<formControlPr xmlns="http://schemas.microsoft.com/office/spreadsheetml/2009/9/main" objectType="CheckBox" fmlaLink="Selections!$I$17" lockText="1" noThreeD="1"/>
</file>

<file path=xl/ctrlProps/ctrlProp24.xml><?xml version="1.0" encoding="utf-8"?>
<formControlPr xmlns="http://schemas.microsoft.com/office/spreadsheetml/2009/9/main" objectType="CheckBox" fmlaLink="Selections!$I$18" lockText="1" noThreeD="1"/>
</file>

<file path=xl/ctrlProps/ctrlProp25.xml><?xml version="1.0" encoding="utf-8"?>
<formControlPr xmlns="http://schemas.microsoft.com/office/spreadsheetml/2009/9/main" objectType="CheckBox" fmlaLink="Selections!$I$19" lockText="1" noThreeD="1"/>
</file>

<file path=xl/ctrlProps/ctrlProp26.xml><?xml version="1.0" encoding="utf-8"?>
<formControlPr xmlns="http://schemas.microsoft.com/office/spreadsheetml/2009/9/main" objectType="CheckBox" fmlaLink="Selections!$I$20" lockText="1" noThreeD="1"/>
</file>

<file path=xl/ctrlProps/ctrlProp27.xml><?xml version="1.0" encoding="utf-8"?>
<formControlPr xmlns="http://schemas.microsoft.com/office/spreadsheetml/2009/9/main" objectType="CheckBox" fmlaLink="Selections!$I$21" lockText="1" noThreeD="1"/>
</file>

<file path=xl/ctrlProps/ctrlProp28.xml><?xml version="1.0" encoding="utf-8"?>
<formControlPr xmlns="http://schemas.microsoft.com/office/spreadsheetml/2009/9/main" objectType="CheckBox" fmlaLink="Selections!$I$22" lockText="1" noThreeD="1"/>
</file>

<file path=xl/ctrlProps/ctrlProp29.xml><?xml version="1.0" encoding="utf-8"?>
<formControlPr xmlns="http://schemas.microsoft.com/office/spreadsheetml/2009/9/main" objectType="CheckBox" fmlaLink="Selections!$I$23" lockText="1" noThreeD="1"/>
</file>

<file path=xl/ctrlProps/ctrlProp30.xml><?xml version="1.0" encoding="utf-8"?>
<formControlPr xmlns="http://schemas.microsoft.com/office/spreadsheetml/2009/9/main" objectType="CheckBox" fmlaLink="Selections!$F$22" lockText="1" noThreeD="1"/>
</file>

<file path=xl/ctrlProps/ctrlProp31.xml><?xml version="1.0" encoding="utf-8"?>
<formControlPr xmlns="http://schemas.microsoft.com/office/spreadsheetml/2009/9/main" objectType="CheckBox" fmlaLink="Selections!$F$23" lockText="1" noThreeD="1"/>
</file>

<file path=xl/ctrlProps/ctrlProp32.xml><?xml version="1.0" encoding="utf-8"?>
<formControlPr xmlns="http://schemas.microsoft.com/office/spreadsheetml/2009/9/main" objectType="CheckBox" fmlaLink="Selections!$F$6" lockText="1" noThreeD="1"/>
</file>

<file path=xl/ctrlProps/ctrlProp33.xml><?xml version="1.0" encoding="utf-8"?>
<formControlPr xmlns="http://schemas.microsoft.com/office/spreadsheetml/2009/9/main" objectType="CheckBox" fmlaLink="Selections!$F$7" lockText="1" noThreeD="1"/>
</file>

<file path=xl/ctrlProps/ctrlProp34.xml><?xml version="1.0" encoding="utf-8"?>
<formControlPr xmlns="http://schemas.microsoft.com/office/spreadsheetml/2009/9/main" objectType="CheckBox" fmlaLink="Selections!$F$8" lockText="1" noThreeD="1"/>
</file>

<file path=xl/ctrlProps/ctrlProp35.xml><?xml version="1.0" encoding="utf-8"?>
<formControlPr xmlns="http://schemas.microsoft.com/office/spreadsheetml/2009/9/main" objectType="CheckBox" fmlaLink="Selections!$F$9" lockText="1" noThreeD="1"/>
</file>

<file path=xl/ctrlProps/ctrlProp36.xml><?xml version="1.0" encoding="utf-8"?>
<formControlPr xmlns="http://schemas.microsoft.com/office/spreadsheetml/2009/9/main" objectType="CheckBox" checked="Checked" fmlaLink="Selections!$F$10" lockText="1" noThreeD="1"/>
</file>

<file path=xl/ctrlProps/ctrlProp37.xml><?xml version="1.0" encoding="utf-8"?>
<formControlPr xmlns="http://schemas.microsoft.com/office/spreadsheetml/2009/9/main" objectType="CheckBox" fmlaLink="Selections!$F$11" lockText="1" noThreeD="1"/>
</file>

<file path=xl/ctrlProps/ctrlProp38.xml><?xml version="1.0" encoding="utf-8"?>
<formControlPr xmlns="http://schemas.microsoft.com/office/spreadsheetml/2009/9/main" objectType="CheckBox" fmlaLink="Selections!$F$12" lockText="1" noThreeD="1"/>
</file>

<file path=xl/ctrlProps/ctrlProp39.xml><?xml version="1.0" encoding="utf-8"?>
<formControlPr xmlns="http://schemas.microsoft.com/office/spreadsheetml/2009/9/main" objectType="CheckBox" fmlaLink="Selections!$F$13" lockText="1" noThreeD="1"/>
</file>

<file path=xl/ctrlProps/ctrlProp40.xml><?xml version="1.0" encoding="utf-8"?>
<formControlPr xmlns="http://schemas.microsoft.com/office/spreadsheetml/2009/9/main" objectType="CheckBox" fmlaLink="Selections!$F$14" lockText="1" noThreeD="1"/>
</file>

<file path=xl/ctrlProps/ctrlProp41.xml><?xml version="1.0" encoding="utf-8"?>
<formControlPr xmlns="http://schemas.microsoft.com/office/spreadsheetml/2009/9/main" objectType="CheckBox" fmlaLink="Selections!$F$15" lockText="1" noThreeD="1"/>
</file>

<file path=xl/ctrlProps/ctrlProp42.xml><?xml version="1.0" encoding="utf-8"?>
<formControlPr xmlns="http://schemas.microsoft.com/office/spreadsheetml/2009/9/main" objectType="CheckBox" fmlaLink="Selections!$F$16" lockText="1" noThreeD="1"/>
</file>

<file path=xl/ctrlProps/ctrlProp43.xml><?xml version="1.0" encoding="utf-8"?>
<formControlPr xmlns="http://schemas.microsoft.com/office/spreadsheetml/2009/9/main" objectType="CheckBox" fmlaLink="Selections!$F$17"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CheckBox" fmlaLink="Selections!$B$21" lockText="1" noThreeD="1"/>
</file>

<file path=xl/ctrlProps/ctrlProp47.xml><?xml version="1.0" encoding="utf-8"?>
<formControlPr xmlns="http://schemas.microsoft.com/office/spreadsheetml/2009/9/main" objectType="CheckBox" fmlaLink="Selections!$B$22" lockText="1" noThreeD="1"/>
</file>

<file path=xl/ctrlProps/ctrlProp48.xml><?xml version="1.0" encoding="utf-8"?>
<formControlPr xmlns="http://schemas.microsoft.com/office/spreadsheetml/2009/9/main" objectType="CheckBox" checked="Checked" fmlaLink="Selections!$B$23" lockText="1" noThreeD="1"/>
</file>

<file path=xl/ctrlProps/ctrlProp49.xml><?xml version="1.0" encoding="utf-8"?>
<formControlPr xmlns="http://schemas.microsoft.com/office/spreadsheetml/2009/9/main" objectType="CheckBox" checked="Checked" fmlaLink="Selections!$B$7" lockText="1" noThreeD="1"/>
</file>

<file path=xl/ctrlProps/ctrlProp50.xml><?xml version="1.0" encoding="utf-8"?>
<formControlPr xmlns="http://schemas.microsoft.com/office/spreadsheetml/2009/9/main" objectType="CheckBox" fmlaLink="Selections!$B$6" lockText="1" noThreeD="1"/>
</file>

<file path=xl/ctrlProps/ctrlProp51.xml><?xml version="1.0" encoding="utf-8"?>
<formControlPr xmlns="http://schemas.microsoft.com/office/spreadsheetml/2009/9/main" objectType="CheckBox" fmlaLink="Selections!$L$6" lockText="1" noThreeD="1"/>
</file>

<file path=xl/ctrlProps/ctrlProp52.xml><?xml version="1.0" encoding="utf-8"?>
<formControlPr xmlns="http://schemas.microsoft.com/office/spreadsheetml/2009/9/main" objectType="CheckBox" fmlaLink="Selections!$L$7" lockText="1" noThreeD="1"/>
</file>

<file path=xl/ctrlProps/ctrlProp53.xml><?xml version="1.0" encoding="utf-8"?>
<formControlPr xmlns="http://schemas.microsoft.com/office/spreadsheetml/2009/9/main" objectType="CheckBox" fmlaLink="Selections!$L$8" lockText="1" noThreeD="1"/>
</file>

<file path=xl/ctrlProps/ctrlProp54.xml><?xml version="1.0" encoding="utf-8"?>
<formControlPr xmlns="http://schemas.microsoft.com/office/spreadsheetml/2009/9/main" objectType="CheckBox" fmlaLink="Selections!$L$9" lockText="1" noThreeD="1"/>
</file>

<file path=xl/ctrlProps/ctrlProp55.xml><?xml version="1.0" encoding="utf-8"?>
<formControlPr xmlns="http://schemas.microsoft.com/office/spreadsheetml/2009/9/main" objectType="CheckBox" fmlaLink="Selections!$L$10" lockText="1" noThreeD="1"/>
</file>

<file path=xl/ctrlProps/ctrlProp56.xml><?xml version="1.0" encoding="utf-8"?>
<formControlPr xmlns="http://schemas.microsoft.com/office/spreadsheetml/2009/9/main" objectType="CheckBox" checked="Checked" fmlaLink="Selections!$O$6" lockText="1" noThreeD="1"/>
</file>

<file path=xl/ctrlProps/ctrlProp57.xml><?xml version="1.0" encoding="utf-8"?>
<formControlPr xmlns="http://schemas.microsoft.com/office/spreadsheetml/2009/9/main" objectType="CheckBox" fmlaLink="Selections!$O$7" lockText="1" noThreeD="1"/>
</file>

<file path=xl/ctrlProps/ctrlProp58.xml><?xml version="1.0" encoding="utf-8"?>
<formControlPr xmlns="http://schemas.microsoft.com/office/spreadsheetml/2009/9/main" objectType="CheckBox" fmlaLink="Selections!$O$8" lockText="1" noThreeD="1"/>
</file>

<file path=xl/ctrlProps/ctrlProp59.xml><?xml version="1.0" encoding="utf-8"?>
<formControlPr xmlns="http://schemas.microsoft.com/office/spreadsheetml/2009/9/main" objectType="CheckBox" fmlaLink="Selections!$O$11" lockText="1" noThreeD="1"/>
</file>

<file path=xl/ctrlProps/ctrlProp60.xml><?xml version="1.0" encoding="utf-8"?>
<formControlPr xmlns="http://schemas.microsoft.com/office/spreadsheetml/2009/9/main" objectType="CheckBox" fmlaLink="Selections!$O$12" lockText="1" noThreeD="1"/>
</file>

<file path=xl/ctrlProps/ctrlProp61.xml><?xml version="1.0" encoding="utf-8"?>
<formControlPr xmlns="http://schemas.microsoft.com/office/spreadsheetml/2009/9/main" objectType="CheckBox" fmlaLink="Selections!$O$13" lockText="1" noThreeD="1"/>
</file>

<file path=xl/ctrlProps/ctrlProp62.xml><?xml version="1.0" encoding="utf-8"?>
<formControlPr xmlns="http://schemas.microsoft.com/office/spreadsheetml/2009/9/main" objectType="CheckBox" checked="Checked" fmlaLink="Selections!$O$16" lockText="1" noThreeD="1"/>
</file>

<file path=xl/ctrlProps/ctrlProp63.xml><?xml version="1.0" encoding="utf-8"?>
<formControlPr xmlns="http://schemas.microsoft.com/office/spreadsheetml/2009/9/main" objectType="CheckBox" fmlaLink="Selections!$O$17" lockText="1" noThreeD="1"/>
</file>

<file path=xl/ctrlProps/ctrlProp64.xml><?xml version="1.0" encoding="utf-8"?>
<formControlPr xmlns="http://schemas.microsoft.com/office/spreadsheetml/2009/9/main" objectType="CheckBox" fmlaLink="Selections!$O$18" lockText="1" noThreeD="1"/>
</file>

<file path=xl/ctrlProps/ctrlProp65.xml><?xml version="1.0" encoding="utf-8"?>
<formControlPr xmlns="http://schemas.microsoft.com/office/spreadsheetml/2009/9/main" objectType="CheckBox" fmlaLink="Selections!$L$13" lockText="1" noThreeD="1"/>
</file>

<file path=xl/ctrlProps/ctrlProp66.xml><?xml version="1.0" encoding="utf-8"?>
<formControlPr xmlns="http://schemas.microsoft.com/office/spreadsheetml/2009/9/main" objectType="CheckBox" fmlaLink="Selections!$L$14" lockText="1" noThreeD="1"/>
</file>

<file path=xl/ctrlProps/ctrlProp67.xml><?xml version="1.0" encoding="utf-8"?>
<formControlPr xmlns="http://schemas.microsoft.com/office/spreadsheetml/2009/9/main" objectType="CheckBox" fmlaLink="Selections!$L$15" lockText="1" noThreeD="1"/>
</file>

<file path=xl/ctrlProps/ctrlProp68.xml><?xml version="1.0" encoding="utf-8"?>
<formControlPr xmlns="http://schemas.microsoft.com/office/spreadsheetml/2009/9/main" objectType="CheckBox" fmlaLink="Selections!$L$16" lockText="1" noThreeD="1"/>
</file>

<file path=xl/ctrlProps/ctrlProp69.xml><?xml version="1.0" encoding="utf-8"?>
<formControlPr xmlns="http://schemas.microsoft.com/office/spreadsheetml/2009/9/main" objectType="CheckBox" fmlaLink="Selections!$L$17" lockText="1" noThreeD="1"/>
</file>

<file path=xl/ctrlProps/ctrlProp70.xml><?xml version="1.0" encoding="utf-8"?>
<formControlPr xmlns="http://schemas.microsoft.com/office/spreadsheetml/2009/9/main" objectType="CheckBox" fmlaLink="Selections!$L$18" lockText="1"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oneCellAnchor>
    <xdr:from>
      <xdr:col>0</xdr:col>
      <xdr:colOff>6095</xdr:colOff>
      <xdr:row>0</xdr:row>
      <xdr:rowOff>6095</xdr:rowOff>
    </xdr:from>
    <xdr:ext cx="6754495" cy="1198245"/>
    <xdr:grpSp>
      <xdr:nvGrpSpPr>
        <xdr:cNvPr id="2" name="Group 2">
          <a:extLst>
            <a:ext uri="{FF2B5EF4-FFF2-40B4-BE49-F238E27FC236}">
              <a16:creationId xmlns:a16="http://schemas.microsoft.com/office/drawing/2014/main" id="{00000000-0008-0000-0000-000002000000}"/>
            </a:ext>
          </a:extLst>
        </xdr:cNvPr>
        <xdr:cNvGrpSpPr/>
      </xdr:nvGrpSpPr>
      <xdr:grpSpPr>
        <a:xfrm>
          <a:off x="6095" y="6095"/>
          <a:ext cx="6754495" cy="1198245"/>
          <a:chOff x="0" y="0"/>
          <a:chExt cx="6754495" cy="1198245"/>
        </a:xfrm>
      </xdr:grpSpPr>
      <xdr:sp macro="" textlink="">
        <xdr:nvSpPr>
          <xdr:cNvPr id="3" name="Shape 3">
            <a:extLst>
              <a:ext uri="{FF2B5EF4-FFF2-40B4-BE49-F238E27FC236}">
                <a16:creationId xmlns:a16="http://schemas.microsoft.com/office/drawing/2014/main" id="{00000000-0008-0000-0000-000003000000}"/>
              </a:ext>
            </a:extLst>
          </xdr:cNvPr>
          <xdr:cNvSpPr/>
        </xdr:nvSpPr>
        <xdr:spPr>
          <a:xfrm>
            <a:off x="0" y="0"/>
            <a:ext cx="6754495" cy="1198245"/>
          </a:xfrm>
          <a:custGeom>
            <a:avLst/>
            <a:gdLst/>
            <a:ahLst/>
            <a:cxnLst/>
            <a:rect l="0" t="0" r="0" b="0"/>
            <a:pathLst>
              <a:path w="6754495" h="1198245">
                <a:moveTo>
                  <a:pt x="6754368" y="1197864"/>
                </a:moveTo>
                <a:lnTo>
                  <a:pt x="0" y="1197864"/>
                </a:lnTo>
                <a:lnTo>
                  <a:pt x="0" y="0"/>
                </a:lnTo>
                <a:lnTo>
                  <a:pt x="6754368" y="0"/>
                </a:lnTo>
                <a:lnTo>
                  <a:pt x="6754368" y="1197864"/>
                </a:lnTo>
                <a:close/>
              </a:path>
            </a:pathLst>
          </a:custGeom>
          <a:solidFill>
            <a:srgbClr val="008938">
              <a:alpha val="50000"/>
            </a:srgbClr>
          </a:solidFill>
        </xdr:spPr>
      </xdr:sp>
      <xdr:pic>
        <xdr:nvPicPr>
          <xdr:cNvPr id="4" name="image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 y="274320"/>
            <a:ext cx="2189988" cy="481583"/>
          </a:xfrm>
          <a:prstGeom prst="rect">
            <a:avLst/>
          </a:prstGeom>
        </xdr:spPr>
      </xdr:pic>
    </xdr:grp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12</xdr:row>
          <xdr:rowOff>0</xdr:rowOff>
        </xdr:from>
        <xdr:to>
          <xdr:col>5</xdr:col>
          <xdr:colOff>247650</xdr:colOff>
          <xdr:row>13</xdr:row>
          <xdr:rowOff>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8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5</xdr:col>
          <xdr:colOff>247650</xdr:colOff>
          <xdr:row>14</xdr:row>
          <xdr:rowOff>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8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5</xdr:col>
          <xdr:colOff>247650</xdr:colOff>
          <xdr:row>15</xdr:row>
          <xdr:rowOff>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8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5</xdr:col>
          <xdr:colOff>247650</xdr:colOff>
          <xdr:row>16</xdr:row>
          <xdr:rowOff>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8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247650</xdr:colOff>
          <xdr:row>17</xdr:row>
          <xdr:rowOff>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8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5</xdr:col>
          <xdr:colOff>247650</xdr:colOff>
          <xdr:row>18</xdr:row>
          <xdr:rowOff>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8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5</xdr:col>
          <xdr:colOff>247650</xdr:colOff>
          <xdr:row>19</xdr:row>
          <xdr:rowOff>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8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5</xdr:col>
          <xdr:colOff>247650</xdr:colOff>
          <xdr:row>20</xdr:row>
          <xdr:rowOff>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8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5</xdr:col>
          <xdr:colOff>247650</xdr:colOff>
          <xdr:row>21</xdr:row>
          <xdr:rowOff>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8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5</xdr:col>
          <xdr:colOff>247650</xdr:colOff>
          <xdr:row>22</xdr:row>
          <xdr:rowOff>0</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8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5</xdr:col>
          <xdr:colOff>247650</xdr:colOff>
          <xdr:row>23</xdr:row>
          <xdr:rowOff>0</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8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4</xdr:row>
          <xdr:rowOff>0</xdr:rowOff>
        </xdr:from>
        <xdr:to>
          <xdr:col>15</xdr:col>
          <xdr:colOff>0</xdr:colOff>
          <xdr:row>5</xdr:row>
          <xdr:rowOff>0</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800-00002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5</xdr:row>
          <xdr:rowOff>0</xdr:rowOff>
        </xdr:from>
        <xdr:to>
          <xdr:col>15</xdr:col>
          <xdr:colOff>0</xdr:colOff>
          <xdr:row>6</xdr:row>
          <xdr:rowOff>0</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800-00002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6</xdr:row>
          <xdr:rowOff>0</xdr:rowOff>
        </xdr:from>
        <xdr:to>
          <xdr:col>15</xdr:col>
          <xdr:colOff>0</xdr:colOff>
          <xdr:row>7</xdr:row>
          <xdr:rowOff>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8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6</xdr:row>
          <xdr:rowOff>190500</xdr:rowOff>
        </xdr:from>
        <xdr:to>
          <xdr:col>15</xdr:col>
          <xdr:colOff>0</xdr:colOff>
          <xdr:row>8</xdr:row>
          <xdr:rowOff>0</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800-00002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0</xdr:colOff>
          <xdr:row>9</xdr:row>
          <xdr:rowOff>0</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800-00002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9</xdr:row>
          <xdr:rowOff>0</xdr:rowOff>
        </xdr:from>
        <xdr:to>
          <xdr:col>15</xdr:col>
          <xdr:colOff>0</xdr:colOff>
          <xdr:row>10</xdr:row>
          <xdr:rowOff>0</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8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10</xdr:row>
          <xdr:rowOff>0</xdr:rowOff>
        </xdr:from>
        <xdr:to>
          <xdr:col>15</xdr:col>
          <xdr:colOff>0</xdr:colOff>
          <xdr:row>11</xdr:row>
          <xdr:rowOff>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8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11</xdr:row>
          <xdr:rowOff>0</xdr:rowOff>
        </xdr:from>
        <xdr:to>
          <xdr:col>15</xdr:col>
          <xdr:colOff>0</xdr:colOff>
          <xdr:row>11</xdr:row>
          <xdr:rowOff>188925</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800-00002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xdr:row>
          <xdr:rowOff>0</xdr:rowOff>
        </xdr:from>
        <xdr:to>
          <xdr:col>15</xdr:col>
          <xdr:colOff>6350</xdr:colOff>
          <xdr:row>13</xdr:row>
          <xdr:rowOff>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8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13</xdr:row>
          <xdr:rowOff>0</xdr:rowOff>
        </xdr:from>
        <xdr:to>
          <xdr:col>15</xdr:col>
          <xdr:colOff>0</xdr:colOff>
          <xdr:row>14</xdr:row>
          <xdr:rowOff>0</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00000000-0008-0000-08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14</xdr:row>
          <xdr:rowOff>0</xdr:rowOff>
        </xdr:from>
        <xdr:to>
          <xdr:col>15</xdr:col>
          <xdr:colOff>0</xdr:colOff>
          <xdr:row>15</xdr:row>
          <xdr:rowOff>0</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8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15</xdr:row>
          <xdr:rowOff>0</xdr:rowOff>
        </xdr:from>
        <xdr:to>
          <xdr:col>15</xdr:col>
          <xdr:colOff>0</xdr:colOff>
          <xdr:row>16</xdr:row>
          <xdr:rowOff>0</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8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15</xdr:row>
          <xdr:rowOff>190500</xdr:rowOff>
        </xdr:from>
        <xdr:to>
          <xdr:col>15</xdr:col>
          <xdr:colOff>0</xdr:colOff>
          <xdr:row>17</xdr:row>
          <xdr:rowOff>0</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8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17</xdr:row>
          <xdr:rowOff>0</xdr:rowOff>
        </xdr:from>
        <xdr:to>
          <xdr:col>15</xdr:col>
          <xdr:colOff>0</xdr:colOff>
          <xdr:row>18</xdr:row>
          <xdr:rowOff>0</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8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18</xdr:row>
          <xdr:rowOff>0</xdr:rowOff>
        </xdr:from>
        <xdr:to>
          <xdr:col>15</xdr:col>
          <xdr:colOff>0</xdr:colOff>
          <xdr:row>19</xdr:row>
          <xdr:rowOff>0</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800-00003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18</xdr:row>
          <xdr:rowOff>190500</xdr:rowOff>
        </xdr:from>
        <xdr:to>
          <xdr:col>15</xdr:col>
          <xdr:colOff>0</xdr:colOff>
          <xdr:row>20</xdr:row>
          <xdr:rowOff>0</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800-00003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20</xdr:row>
          <xdr:rowOff>0</xdr:rowOff>
        </xdr:from>
        <xdr:to>
          <xdr:col>15</xdr:col>
          <xdr:colOff>0</xdr:colOff>
          <xdr:row>21</xdr:row>
          <xdr:rowOff>0</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00000000-0008-0000-0800-00003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1822450</xdr:colOff>
          <xdr:row>21</xdr:row>
          <xdr:rowOff>0</xdr:rowOff>
        </xdr:from>
        <xdr:to>
          <xdr:col>15</xdr:col>
          <xdr:colOff>0</xdr:colOff>
          <xdr:row>22</xdr:row>
          <xdr:rowOff>0</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800-00003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36</xdr:row>
          <xdr:rowOff>0</xdr:rowOff>
        </xdr:from>
        <xdr:to>
          <xdr:col>14</xdr:col>
          <xdr:colOff>247650</xdr:colOff>
          <xdr:row>37</xdr:row>
          <xdr:rowOff>0</xdr:rowOff>
        </xdr:to>
        <xdr:sp macro="" textlink="">
          <xdr:nvSpPr>
            <xdr:cNvPr id="2116" name="Check Box 68" hidden="1">
              <a:extLst>
                <a:ext uri="{63B3BB69-23CF-44E3-9099-C40C66FF867C}">
                  <a14:compatExt spid="_x0000_s2116"/>
                </a:ext>
                <a:ext uri="{FF2B5EF4-FFF2-40B4-BE49-F238E27FC236}">
                  <a16:creationId xmlns:a16="http://schemas.microsoft.com/office/drawing/2014/main" id="{00000000-0008-0000-08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0</xdr:rowOff>
        </xdr:from>
        <xdr:to>
          <xdr:col>14</xdr:col>
          <xdr:colOff>247650</xdr:colOff>
          <xdr:row>38</xdr:row>
          <xdr:rowOff>0</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id="{00000000-0008-0000-0800-00004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14</xdr:col>
          <xdr:colOff>247650</xdr:colOff>
          <xdr:row>24</xdr:row>
          <xdr:rowOff>0</xdr:rowOff>
        </xdr:to>
        <xdr:sp macro="" textlink="">
          <xdr:nvSpPr>
            <xdr:cNvPr id="2119" name="Check Box 71" hidden="1">
              <a:extLst>
                <a:ext uri="{63B3BB69-23CF-44E3-9099-C40C66FF867C}">
                  <a14:compatExt spid="_x0000_s2119"/>
                </a:ext>
                <a:ext uri="{FF2B5EF4-FFF2-40B4-BE49-F238E27FC236}">
                  <a16:creationId xmlns:a16="http://schemas.microsoft.com/office/drawing/2014/main" id="{00000000-0008-0000-08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24</xdr:row>
          <xdr:rowOff>6350</xdr:rowOff>
        </xdr:from>
        <xdr:to>
          <xdr:col>14</xdr:col>
          <xdr:colOff>247650</xdr:colOff>
          <xdr:row>24</xdr:row>
          <xdr:rowOff>188925</xdr:rowOff>
        </xdr:to>
        <xdr:sp macro="" textlink="">
          <xdr:nvSpPr>
            <xdr:cNvPr id="2120" name="Check Box 72" hidden="1">
              <a:extLst>
                <a:ext uri="{63B3BB69-23CF-44E3-9099-C40C66FF867C}">
                  <a14:compatExt spid="_x0000_s2120"/>
                </a:ext>
                <a:ext uri="{FF2B5EF4-FFF2-40B4-BE49-F238E27FC236}">
                  <a16:creationId xmlns:a16="http://schemas.microsoft.com/office/drawing/2014/main" id="{00000000-0008-0000-08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24</xdr:row>
          <xdr:rowOff>190500</xdr:rowOff>
        </xdr:from>
        <xdr:to>
          <xdr:col>14</xdr:col>
          <xdr:colOff>247650</xdr:colOff>
          <xdr:row>26</xdr:row>
          <xdr:rowOff>0</xdr:rowOff>
        </xdr:to>
        <xdr:sp macro="" textlink="">
          <xdr:nvSpPr>
            <xdr:cNvPr id="2121" name="Check Box 73" hidden="1">
              <a:extLst>
                <a:ext uri="{63B3BB69-23CF-44E3-9099-C40C66FF867C}">
                  <a14:compatExt spid="_x0000_s2121"/>
                </a:ext>
                <a:ext uri="{FF2B5EF4-FFF2-40B4-BE49-F238E27FC236}">
                  <a16:creationId xmlns:a16="http://schemas.microsoft.com/office/drawing/2014/main" id="{00000000-0008-0000-08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14</xdr:col>
          <xdr:colOff>247650</xdr:colOff>
          <xdr:row>27</xdr:row>
          <xdr:rowOff>0</xdr:rowOff>
        </xdr:to>
        <xdr:sp macro="" textlink="">
          <xdr:nvSpPr>
            <xdr:cNvPr id="2122" name="Check Box 74" hidden="1">
              <a:extLst>
                <a:ext uri="{63B3BB69-23CF-44E3-9099-C40C66FF867C}">
                  <a14:compatExt spid="_x0000_s2122"/>
                </a:ext>
                <a:ext uri="{FF2B5EF4-FFF2-40B4-BE49-F238E27FC236}">
                  <a16:creationId xmlns:a16="http://schemas.microsoft.com/office/drawing/2014/main" id="{00000000-0008-0000-08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190500</xdr:rowOff>
        </xdr:from>
        <xdr:to>
          <xdr:col>14</xdr:col>
          <xdr:colOff>247650</xdr:colOff>
          <xdr:row>28</xdr:row>
          <xdr:rowOff>0</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8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0</xdr:rowOff>
        </xdr:from>
        <xdr:to>
          <xdr:col>14</xdr:col>
          <xdr:colOff>247650</xdr:colOff>
          <xdr:row>29</xdr:row>
          <xdr:rowOff>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800-00004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14</xdr:col>
          <xdr:colOff>247650</xdr:colOff>
          <xdr:row>30</xdr:row>
          <xdr:rowOff>0</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8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190500</xdr:rowOff>
        </xdr:from>
        <xdr:to>
          <xdr:col>14</xdr:col>
          <xdr:colOff>247650</xdr:colOff>
          <xdr:row>31</xdr:row>
          <xdr:rowOff>0</xdr:rowOff>
        </xdr:to>
        <xdr:sp macro="" textlink="">
          <xdr:nvSpPr>
            <xdr:cNvPr id="2126" name="Check Box 78" hidden="1">
              <a:extLst>
                <a:ext uri="{63B3BB69-23CF-44E3-9099-C40C66FF867C}">
                  <a14:compatExt spid="_x0000_s2126"/>
                </a:ext>
                <a:ext uri="{FF2B5EF4-FFF2-40B4-BE49-F238E27FC236}">
                  <a16:creationId xmlns:a16="http://schemas.microsoft.com/office/drawing/2014/main" id="{00000000-0008-0000-08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30</xdr:row>
          <xdr:rowOff>190500</xdr:rowOff>
        </xdr:from>
        <xdr:to>
          <xdr:col>14</xdr:col>
          <xdr:colOff>247650</xdr:colOff>
          <xdr:row>32</xdr:row>
          <xdr:rowOff>0</xdr:rowOff>
        </xdr:to>
        <xdr:sp macro="" textlink="">
          <xdr:nvSpPr>
            <xdr:cNvPr id="2127" name="Check Box 79" hidden="1">
              <a:extLst>
                <a:ext uri="{63B3BB69-23CF-44E3-9099-C40C66FF867C}">
                  <a14:compatExt spid="_x0000_s2127"/>
                </a:ext>
                <a:ext uri="{FF2B5EF4-FFF2-40B4-BE49-F238E27FC236}">
                  <a16:creationId xmlns:a16="http://schemas.microsoft.com/office/drawing/2014/main" id="{00000000-0008-0000-0800-00004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14</xdr:col>
          <xdr:colOff>247650</xdr:colOff>
          <xdr:row>32</xdr:row>
          <xdr:rowOff>188925</xdr:rowOff>
        </xdr:to>
        <xdr:sp macro="" textlink="">
          <xdr:nvSpPr>
            <xdr:cNvPr id="2128" name="Check Box 80" hidden="1">
              <a:extLst>
                <a:ext uri="{63B3BB69-23CF-44E3-9099-C40C66FF867C}">
                  <a14:compatExt spid="_x0000_s2128"/>
                </a:ext>
                <a:ext uri="{FF2B5EF4-FFF2-40B4-BE49-F238E27FC236}">
                  <a16:creationId xmlns:a16="http://schemas.microsoft.com/office/drawing/2014/main" id="{00000000-0008-0000-08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33</xdr:row>
          <xdr:rowOff>0</xdr:rowOff>
        </xdr:from>
        <xdr:to>
          <xdr:col>14</xdr:col>
          <xdr:colOff>247650</xdr:colOff>
          <xdr:row>34</xdr:row>
          <xdr:rowOff>0</xdr:rowOff>
        </xdr:to>
        <xdr:sp macro="" textlink="">
          <xdr:nvSpPr>
            <xdr:cNvPr id="2129" name="Check Box 81" hidden="1">
              <a:extLst>
                <a:ext uri="{63B3BB69-23CF-44E3-9099-C40C66FF867C}">
                  <a14:compatExt spid="_x0000_s2129"/>
                </a:ext>
                <a:ext uri="{FF2B5EF4-FFF2-40B4-BE49-F238E27FC236}">
                  <a16:creationId xmlns:a16="http://schemas.microsoft.com/office/drawing/2014/main" id="{00000000-0008-0000-08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0</xdr:rowOff>
        </xdr:from>
        <xdr:to>
          <xdr:col>14</xdr:col>
          <xdr:colOff>247650</xdr:colOff>
          <xdr:row>35</xdr:row>
          <xdr:rowOff>0</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800-00005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254000</xdr:colOff>
          <xdr:row>3</xdr:row>
          <xdr:rowOff>0</xdr:rowOff>
        </xdr:from>
        <xdr:to>
          <xdr:col>31</xdr:col>
          <xdr:colOff>0</xdr:colOff>
          <xdr:row>5</xdr:row>
          <xdr:rowOff>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800-000058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xdr:row>
          <xdr:rowOff>0</xdr:rowOff>
        </xdr:from>
        <xdr:to>
          <xdr:col>20</xdr:col>
          <xdr:colOff>0</xdr:colOff>
          <xdr:row>5</xdr:row>
          <xdr:rowOff>0</xdr:rowOff>
        </xdr:to>
        <xdr:sp macro="" textlink="">
          <xdr:nvSpPr>
            <xdr:cNvPr id="2138" name="Button 90" hidden="1">
              <a:extLst>
                <a:ext uri="{63B3BB69-23CF-44E3-9099-C40C66FF867C}">
                  <a14:compatExt spid="_x0000_s2138"/>
                </a:ext>
                <a:ext uri="{FF2B5EF4-FFF2-40B4-BE49-F238E27FC236}">
                  <a16:creationId xmlns:a16="http://schemas.microsoft.com/office/drawing/2014/main" id="{00000000-0008-0000-0800-00005A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Clear selections</a:t>
              </a:r>
            </a:p>
          </xdr:txBody>
        </xdr:sp>
        <xdr:clientData fPrintsWithSheet="0"/>
      </xdr:twoCellAnchor>
    </mc:Choice>
    <mc:Fallback/>
  </mc:AlternateContent>
  <xdr:twoCellAnchor>
    <xdr:from>
      <xdr:col>28</xdr:col>
      <xdr:colOff>0</xdr:colOff>
      <xdr:row>20</xdr:row>
      <xdr:rowOff>187613</xdr:rowOff>
    </xdr:from>
    <xdr:to>
      <xdr:col>31</xdr:col>
      <xdr:colOff>0</xdr:colOff>
      <xdr:row>34</xdr:row>
      <xdr:rowOff>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5</xdr:col>
          <xdr:colOff>247650</xdr:colOff>
          <xdr:row>27</xdr:row>
          <xdr:rowOff>0</xdr:rowOff>
        </xdr:to>
        <xdr:sp macro="" textlink="">
          <xdr:nvSpPr>
            <xdr:cNvPr id="2169" name="Check Box 121" hidden="1">
              <a:extLst>
                <a:ext uri="{63B3BB69-23CF-44E3-9099-C40C66FF867C}">
                  <a14:compatExt spid="_x0000_s2169"/>
                </a:ext>
                <a:ext uri="{FF2B5EF4-FFF2-40B4-BE49-F238E27FC236}">
                  <a16:creationId xmlns:a16="http://schemas.microsoft.com/office/drawing/2014/main" id="{00000000-0008-0000-0800-00007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28</xdr:row>
          <xdr:rowOff>0</xdr:rowOff>
        </xdr:to>
        <xdr:sp macro="" textlink="">
          <xdr:nvSpPr>
            <xdr:cNvPr id="2170" name="Check Box 122" hidden="1">
              <a:extLst>
                <a:ext uri="{63B3BB69-23CF-44E3-9099-C40C66FF867C}">
                  <a14:compatExt spid="_x0000_s2170"/>
                </a:ext>
                <a:ext uri="{FF2B5EF4-FFF2-40B4-BE49-F238E27FC236}">
                  <a16:creationId xmlns:a16="http://schemas.microsoft.com/office/drawing/2014/main" id="{00000000-0008-0000-0800-00007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29</xdr:row>
          <xdr:rowOff>0</xdr:rowOff>
        </xdr:to>
        <xdr:sp macro="" textlink="">
          <xdr:nvSpPr>
            <xdr:cNvPr id="2171" name="Check Box 123" hidden="1">
              <a:extLst>
                <a:ext uri="{63B3BB69-23CF-44E3-9099-C40C66FF867C}">
                  <a14:compatExt spid="_x0000_s2171"/>
                </a:ext>
                <a:ext uri="{FF2B5EF4-FFF2-40B4-BE49-F238E27FC236}">
                  <a16:creationId xmlns:a16="http://schemas.microsoft.com/office/drawing/2014/main" id="{00000000-0008-0000-0800-00007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5</xdr:col>
          <xdr:colOff>247650</xdr:colOff>
          <xdr:row>11</xdr:row>
          <xdr:rowOff>188925</xdr:rowOff>
        </xdr:to>
        <xdr:sp macro="" textlink="">
          <xdr:nvSpPr>
            <xdr:cNvPr id="2173" name="Check Box 125" hidden="1">
              <a:extLst>
                <a:ext uri="{63B3BB69-23CF-44E3-9099-C40C66FF867C}">
                  <a14:compatExt spid="_x0000_s2173"/>
                </a:ext>
                <a:ext uri="{FF2B5EF4-FFF2-40B4-BE49-F238E27FC236}">
                  <a16:creationId xmlns:a16="http://schemas.microsoft.com/office/drawing/2014/main" id="{00000000-0008-0000-0800-00007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5</xdr:col>
          <xdr:colOff>247650</xdr:colOff>
          <xdr:row>11</xdr:row>
          <xdr:rowOff>0</xdr:rowOff>
        </xdr:to>
        <xdr:sp macro="" textlink="">
          <xdr:nvSpPr>
            <xdr:cNvPr id="2174" name="Check Box 126" hidden="1">
              <a:extLst>
                <a:ext uri="{63B3BB69-23CF-44E3-9099-C40C66FF867C}">
                  <a14:compatExt spid="_x0000_s2174"/>
                </a:ext>
                <a:ext uri="{FF2B5EF4-FFF2-40B4-BE49-F238E27FC236}">
                  <a16:creationId xmlns:a16="http://schemas.microsoft.com/office/drawing/2014/main" id="{00000000-0008-0000-0800-00007E080000}"/>
                </a:ext>
              </a:extLst>
            </xdr:cNvPr>
            <xdr:cNvSpPr/>
          </xdr:nvSpPr>
          <xdr:spPr bwMode="auto">
            <a:xfrm>
              <a:off x="0" y="0"/>
              <a:ext cx="0" cy="0"/>
            </a:xfrm>
            <a:prstGeom prst="rect">
              <a:avLst/>
            </a:prstGeom>
            <a:noFill/>
            <a:ln>
              <a:noFill/>
            </a:ln>
            <a:extLst>
              <a:ext uri="{909E8E84-426E-40DD-AFC4-6F175D3DCCD1}">
                <a14:hiddenFill>
                  <a:solidFill>
                    <a:srgbClr val="CCCCFF" mc:Ignorable="a14" a14:legacySpreadsheetColorIndex="31"/>
                  </a:solidFill>
                </a14:hiddenFill>
              </a:ext>
              <a:ext uri="{91240B29-F687-4F45-9708-019B960494DF}">
                <a14:hiddenLine w="107950">
                  <a:solidFill>
                    <a:srgbClr val="3366FF" mc:Ignorable="a14" a14:legacySpreadsheetColorIndex="48"/>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5</xdr:row>
          <xdr:rowOff>6350</xdr:rowOff>
        </xdr:from>
        <xdr:to>
          <xdr:col>6</xdr:col>
          <xdr:colOff>0</xdr:colOff>
          <xdr:row>6</xdr:row>
          <xdr:rowOff>0</xdr:rowOff>
        </xdr:to>
        <xdr:sp macro="" textlink="">
          <xdr:nvSpPr>
            <xdr:cNvPr id="26670" name="Check Box 46" hidden="1">
              <a:extLst>
                <a:ext uri="{63B3BB69-23CF-44E3-9099-C40C66FF867C}">
                  <a14:compatExt spid="_x0000_s26670"/>
                </a:ext>
                <a:ext uri="{FF2B5EF4-FFF2-40B4-BE49-F238E27FC236}">
                  <a16:creationId xmlns:a16="http://schemas.microsoft.com/office/drawing/2014/main" id="{00000000-0008-0000-0900-00002E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alpha val="0"/>
                    </a:srgbClr>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190500</xdr:rowOff>
        </xdr:from>
        <xdr:to>
          <xdr:col>6</xdr:col>
          <xdr:colOff>0</xdr:colOff>
          <xdr:row>7</xdr:row>
          <xdr:rowOff>0</xdr:rowOff>
        </xdr:to>
        <xdr:sp macro="" textlink="">
          <xdr:nvSpPr>
            <xdr:cNvPr id="26671" name="Check Box 47" hidden="1">
              <a:extLst>
                <a:ext uri="{63B3BB69-23CF-44E3-9099-C40C66FF867C}">
                  <a14:compatExt spid="_x0000_s26671"/>
                </a:ext>
                <a:ext uri="{FF2B5EF4-FFF2-40B4-BE49-F238E27FC236}">
                  <a16:creationId xmlns:a16="http://schemas.microsoft.com/office/drawing/2014/main" id="{00000000-0008-0000-0900-00002F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6</xdr:col>
          <xdr:colOff>0</xdr:colOff>
          <xdr:row>8</xdr:row>
          <xdr:rowOff>0</xdr:rowOff>
        </xdr:to>
        <xdr:sp macro="" textlink="">
          <xdr:nvSpPr>
            <xdr:cNvPr id="26672" name="Check Box 48" hidden="1">
              <a:extLst>
                <a:ext uri="{63B3BB69-23CF-44E3-9099-C40C66FF867C}">
                  <a14:compatExt spid="_x0000_s26672"/>
                </a:ext>
                <a:ext uri="{FF2B5EF4-FFF2-40B4-BE49-F238E27FC236}">
                  <a16:creationId xmlns:a16="http://schemas.microsoft.com/office/drawing/2014/main" id="{00000000-0008-0000-0900-000030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190500</xdr:rowOff>
        </xdr:from>
        <xdr:to>
          <xdr:col>6</xdr:col>
          <xdr:colOff>0</xdr:colOff>
          <xdr:row>9</xdr:row>
          <xdr:rowOff>0</xdr:rowOff>
        </xdr:to>
        <xdr:sp macro="" textlink="">
          <xdr:nvSpPr>
            <xdr:cNvPr id="26673" name="Check Box 49" hidden="1">
              <a:extLst>
                <a:ext uri="{63B3BB69-23CF-44E3-9099-C40C66FF867C}">
                  <a14:compatExt spid="_x0000_s26673"/>
                </a:ext>
                <a:ext uri="{FF2B5EF4-FFF2-40B4-BE49-F238E27FC236}">
                  <a16:creationId xmlns:a16="http://schemas.microsoft.com/office/drawing/2014/main" id="{00000000-0008-0000-0900-00003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190500</xdr:rowOff>
        </xdr:from>
        <xdr:to>
          <xdr:col>6</xdr:col>
          <xdr:colOff>0</xdr:colOff>
          <xdr:row>10</xdr:row>
          <xdr:rowOff>0</xdr:rowOff>
        </xdr:to>
        <xdr:sp macro="" textlink="">
          <xdr:nvSpPr>
            <xdr:cNvPr id="26674" name="Check Box 50" hidden="1">
              <a:extLst>
                <a:ext uri="{63B3BB69-23CF-44E3-9099-C40C66FF867C}">
                  <a14:compatExt spid="_x0000_s26674"/>
                </a:ext>
                <a:ext uri="{FF2B5EF4-FFF2-40B4-BE49-F238E27FC236}">
                  <a16:creationId xmlns:a16="http://schemas.microsoft.com/office/drawing/2014/main" id="{00000000-0008-0000-0900-00003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190500</xdr:rowOff>
        </xdr:from>
        <xdr:to>
          <xdr:col>6</xdr:col>
          <xdr:colOff>0</xdr:colOff>
          <xdr:row>13</xdr:row>
          <xdr:rowOff>0</xdr:rowOff>
        </xdr:to>
        <xdr:sp macro="" textlink="">
          <xdr:nvSpPr>
            <xdr:cNvPr id="26675" name="Check Box 51" hidden="1">
              <a:extLst>
                <a:ext uri="{63B3BB69-23CF-44E3-9099-C40C66FF867C}">
                  <a14:compatExt spid="_x0000_s26675"/>
                </a:ext>
                <a:ext uri="{FF2B5EF4-FFF2-40B4-BE49-F238E27FC236}">
                  <a16:creationId xmlns:a16="http://schemas.microsoft.com/office/drawing/2014/main" id="{00000000-0008-0000-0900-00003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6</xdr:col>
          <xdr:colOff>0</xdr:colOff>
          <xdr:row>14</xdr:row>
          <xdr:rowOff>0</xdr:rowOff>
        </xdr:to>
        <xdr:sp macro="" textlink="">
          <xdr:nvSpPr>
            <xdr:cNvPr id="26676" name="Check Box 52" hidden="1">
              <a:extLst>
                <a:ext uri="{63B3BB69-23CF-44E3-9099-C40C66FF867C}">
                  <a14:compatExt spid="_x0000_s26676"/>
                </a:ext>
                <a:ext uri="{FF2B5EF4-FFF2-40B4-BE49-F238E27FC236}">
                  <a16:creationId xmlns:a16="http://schemas.microsoft.com/office/drawing/2014/main" id="{00000000-0008-0000-0900-000034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190500</xdr:rowOff>
        </xdr:from>
        <xdr:to>
          <xdr:col>6</xdr:col>
          <xdr:colOff>0</xdr:colOff>
          <xdr:row>14</xdr:row>
          <xdr:rowOff>177800</xdr:rowOff>
        </xdr:to>
        <xdr:sp macro="" textlink="">
          <xdr:nvSpPr>
            <xdr:cNvPr id="26677" name="Check Box 53" hidden="1">
              <a:extLst>
                <a:ext uri="{63B3BB69-23CF-44E3-9099-C40C66FF867C}">
                  <a14:compatExt spid="_x0000_s26677"/>
                </a:ext>
                <a:ext uri="{FF2B5EF4-FFF2-40B4-BE49-F238E27FC236}">
                  <a16:creationId xmlns:a16="http://schemas.microsoft.com/office/drawing/2014/main" id="{00000000-0008-0000-0900-00003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0</xdr:colOff>
          <xdr:row>20</xdr:row>
          <xdr:rowOff>0</xdr:rowOff>
        </xdr:to>
        <xdr:sp macro="" textlink="">
          <xdr:nvSpPr>
            <xdr:cNvPr id="26678" name="Check Box 54" hidden="1">
              <a:extLst>
                <a:ext uri="{63B3BB69-23CF-44E3-9099-C40C66FF867C}">
                  <a14:compatExt spid="_x0000_s26678"/>
                </a:ext>
                <a:ext uri="{FF2B5EF4-FFF2-40B4-BE49-F238E27FC236}">
                  <a16:creationId xmlns:a16="http://schemas.microsoft.com/office/drawing/2014/main" id="{00000000-0008-0000-0900-000036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190500</xdr:rowOff>
        </xdr:from>
        <xdr:to>
          <xdr:col>6</xdr:col>
          <xdr:colOff>0</xdr:colOff>
          <xdr:row>21</xdr:row>
          <xdr:rowOff>0</xdr:rowOff>
        </xdr:to>
        <xdr:sp macro="" textlink="">
          <xdr:nvSpPr>
            <xdr:cNvPr id="26679" name="Check Box 55" hidden="1">
              <a:extLst>
                <a:ext uri="{63B3BB69-23CF-44E3-9099-C40C66FF867C}">
                  <a14:compatExt spid="_x0000_s26679"/>
                </a:ext>
                <a:ext uri="{FF2B5EF4-FFF2-40B4-BE49-F238E27FC236}">
                  <a16:creationId xmlns:a16="http://schemas.microsoft.com/office/drawing/2014/main" id="{00000000-0008-0000-0900-00003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190500</xdr:rowOff>
        </xdr:from>
        <xdr:to>
          <xdr:col>6</xdr:col>
          <xdr:colOff>0</xdr:colOff>
          <xdr:row>22</xdr:row>
          <xdr:rowOff>0</xdr:rowOff>
        </xdr:to>
        <xdr:sp macro="" textlink="">
          <xdr:nvSpPr>
            <xdr:cNvPr id="26680" name="Check Box 56" hidden="1">
              <a:extLst>
                <a:ext uri="{63B3BB69-23CF-44E3-9099-C40C66FF867C}">
                  <a14:compatExt spid="_x0000_s26680"/>
                </a:ext>
                <a:ext uri="{FF2B5EF4-FFF2-40B4-BE49-F238E27FC236}">
                  <a16:creationId xmlns:a16="http://schemas.microsoft.com/office/drawing/2014/main" id="{00000000-0008-0000-0900-000038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190500</xdr:rowOff>
        </xdr:from>
        <xdr:to>
          <xdr:col>6</xdr:col>
          <xdr:colOff>0</xdr:colOff>
          <xdr:row>25</xdr:row>
          <xdr:rowOff>0</xdr:rowOff>
        </xdr:to>
        <xdr:sp macro="" textlink="">
          <xdr:nvSpPr>
            <xdr:cNvPr id="26681" name="Check Box 57" hidden="1">
              <a:extLst>
                <a:ext uri="{63B3BB69-23CF-44E3-9099-C40C66FF867C}">
                  <a14:compatExt spid="_x0000_s26681"/>
                </a:ext>
                <a:ext uri="{FF2B5EF4-FFF2-40B4-BE49-F238E27FC236}">
                  <a16:creationId xmlns:a16="http://schemas.microsoft.com/office/drawing/2014/main" id="{00000000-0008-0000-0900-000039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26</xdr:row>
          <xdr:rowOff>0</xdr:rowOff>
        </xdr:to>
        <xdr:sp macro="" textlink="">
          <xdr:nvSpPr>
            <xdr:cNvPr id="26682" name="Check Box 58" hidden="1">
              <a:extLst>
                <a:ext uri="{63B3BB69-23CF-44E3-9099-C40C66FF867C}">
                  <a14:compatExt spid="_x0000_s26682"/>
                </a:ext>
                <a:ext uri="{FF2B5EF4-FFF2-40B4-BE49-F238E27FC236}">
                  <a16:creationId xmlns:a16="http://schemas.microsoft.com/office/drawing/2014/main" id="{00000000-0008-0000-0900-00003A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190500</xdr:rowOff>
        </xdr:from>
        <xdr:to>
          <xdr:col>6</xdr:col>
          <xdr:colOff>0</xdr:colOff>
          <xdr:row>27</xdr:row>
          <xdr:rowOff>0</xdr:rowOff>
        </xdr:to>
        <xdr:sp macro="" textlink="">
          <xdr:nvSpPr>
            <xdr:cNvPr id="26683" name="Check Box 59" hidden="1">
              <a:extLst>
                <a:ext uri="{63B3BB69-23CF-44E3-9099-C40C66FF867C}">
                  <a14:compatExt spid="_x0000_s26683"/>
                </a:ext>
                <a:ext uri="{FF2B5EF4-FFF2-40B4-BE49-F238E27FC236}">
                  <a16:creationId xmlns:a16="http://schemas.microsoft.com/office/drawing/2014/main" id="{00000000-0008-0000-0900-00003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190500</xdr:rowOff>
        </xdr:from>
        <xdr:to>
          <xdr:col>16</xdr:col>
          <xdr:colOff>0</xdr:colOff>
          <xdr:row>6</xdr:row>
          <xdr:rowOff>0</xdr:rowOff>
        </xdr:to>
        <xdr:sp macro="" textlink="">
          <xdr:nvSpPr>
            <xdr:cNvPr id="26684" name="Check Box 60" hidden="1">
              <a:extLst>
                <a:ext uri="{63B3BB69-23CF-44E3-9099-C40C66FF867C}">
                  <a14:compatExt spid="_x0000_s26684"/>
                </a:ext>
                <a:ext uri="{FF2B5EF4-FFF2-40B4-BE49-F238E27FC236}">
                  <a16:creationId xmlns:a16="http://schemas.microsoft.com/office/drawing/2014/main" id="{00000000-0008-0000-0900-00003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xdr:row>
          <xdr:rowOff>190500</xdr:rowOff>
        </xdr:from>
        <xdr:to>
          <xdr:col>16</xdr:col>
          <xdr:colOff>0</xdr:colOff>
          <xdr:row>7</xdr:row>
          <xdr:rowOff>0</xdr:rowOff>
        </xdr:to>
        <xdr:sp macro="" textlink="">
          <xdr:nvSpPr>
            <xdr:cNvPr id="26685" name="Check Box 61" hidden="1">
              <a:extLst>
                <a:ext uri="{63B3BB69-23CF-44E3-9099-C40C66FF867C}">
                  <a14:compatExt spid="_x0000_s26685"/>
                </a:ext>
                <a:ext uri="{FF2B5EF4-FFF2-40B4-BE49-F238E27FC236}">
                  <a16:creationId xmlns:a16="http://schemas.microsoft.com/office/drawing/2014/main" id="{00000000-0008-0000-0900-00003D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xdr:row>
          <xdr:rowOff>0</xdr:rowOff>
        </xdr:from>
        <xdr:to>
          <xdr:col>16</xdr:col>
          <xdr:colOff>0</xdr:colOff>
          <xdr:row>8</xdr:row>
          <xdr:rowOff>0</xdr:rowOff>
        </xdr:to>
        <xdr:sp macro="" textlink="">
          <xdr:nvSpPr>
            <xdr:cNvPr id="26686" name="Check Box 62" hidden="1">
              <a:extLst>
                <a:ext uri="{63B3BB69-23CF-44E3-9099-C40C66FF867C}">
                  <a14:compatExt spid="_x0000_s26686"/>
                </a:ext>
                <a:ext uri="{FF2B5EF4-FFF2-40B4-BE49-F238E27FC236}">
                  <a16:creationId xmlns:a16="http://schemas.microsoft.com/office/drawing/2014/main" id="{00000000-0008-0000-0900-00003E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xdr:row>
          <xdr:rowOff>190500</xdr:rowOff>
        </xdr:from>
        <xdr:to>
          <xdr:col>16</xdr:col>
          <xdr:colOff>0</xdr:colOff>
          <xdr:row>9</xdr:row>
          <xdr:rowOff>0</xdr:rowOff>
        </xdr:to>
        <xdr:sp macro="" textlink="">
          <xdr:nvSpPr>
            <xdr:cNvPr id="26687" name="Check Box 63" hidden="1">
              <a:extLst>
                <a:ext uri="{63B3BB69-23CF-44E3-9099-C40C66FF867C}">
                  <a14:compatExt spid="_x0000_s26687"/>
                </a:ext>
                <a:ext uri="{FF2B5EF4-FFF2-40B4-BE49-F238E27FC236}">
                  <a16:creationId xmlns:a16="http://schemas.microsoft.com/office/drawing/2014/main" id="{00000000-0008-0000-0900-00003F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xdr:row>
          <xdr:rowOff>190500</xdr:rowOff>
        </xdr:from>
        <xdr:to>
          <xdr:col>16</xdr:col>
          <xdr:colOff>0</xdr:colOff>
          <xdr:row>10</xdr:row>
          <xdr:rowOff>0</xdr:rowOff>
        </xdr:to>
        <xdr:sp macro="" textlink="">
          <xdr:nvSpPr>
            <xdr:cNvPr id="26688" name="Check Box 64" hidden="1">
              <a:extLst>
                <a:ext uri="{63B3BB69-23CF-44E3-9099-C40C66FF867C}">
                  <a14:compatExt spid="_x0000_s26688"/>
                </a:ext>
                <a:ext uri="{FF2B5EF4-FFF2-40B4-BE49-F238E27FC236}">
                  <a16:creationId xmlns:a16="http://schemas.microsoft.com/office/drawing/2014/main" id="{00000000-0008-0000-0900-000040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xdr:row>
          <xdr:rowOff>190500</xdr:rowOff>
        </xdr:from>
        <xdr:to>
          <xdr:col>16</xdr:col>
          <xdr:colOff>0</xdr:colOff>
          <xdr:row>11</xdr:row>
          <xdr:rowOff>0</xdr:rowOff>
        </xdr:to>
        <xdr:sp macro="" textlink="">
          <xdr:nvSpPr>
            <xdr:cNvPr id="26689" name="Check Box 65" hidden="1">
              <a:extLst>
                <a:ext uri="{63B3BB69-23CF-44E3-9099-C40C66FF867C}">
                  <a14:compatExt spid="_x0000_s26689"/>
                </a:ext>
                <a:ext uri="{FF2B5EF4-FFF2-40B4-BE49-F238E27FC236}">
                  <a16:creationId xmlns:a16="http://schemas.microsoft.com/office/drawing/2014/main" id="{00000000-0008-0000-0900-00004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27</xdr:col>
      <xdr:colOff>0</xdr:colOff>
      <xdr:row>20</xdr:row>
      <xdr:rowOff>0</xdr:rowOff>
    </xdr:from>
    <xdr:to>
      <xdr:col>30</xdr:col>
      <xdr:colOff>1</xdr:colOff>
      <xdr:row>33</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22</xdr:col>
          <xdr:colOff>190500</xdr:colOff>
          <xdr:row>3</xdr:row>
          <xdr:rowOff>0</xdr:rowOff>
        </xdr:from>
        <xdr:to>
          <xdr:col>23</xdr:col>
          <xdr:colOff>1022350</xdr:colOff>
          <xdr:row>5</xdr:row>
          <xdr:rowOff>0</xdr:rowOff>
        </xdr:to>
        <xdr:sp macro="" textlink="">
          <xdr:nvSpPr>
            <xdr:cNvPr id="26690" name="Button 66" hidden="1">
              <a:extLst>
                <a:ext uri="{63B3BB69-23CF-44E3-9099-C40C66FF867C}">
                  <a14:compatExt spid="_x0000_s26690"/>
                </a:ext>
                <a:ext uri="{FF2B5EF4-FFF2-40B4-BE49-F238E27FC236}">
                  <a16:creationId xmlns:a16="http://schemas.microsoft.com/office/drawing/2014/main" id="{00000000-0008-0000-0900-00004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Clear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209550</xdr:colOff>
          <xdr:row>3</xdr:row>
          <xdr:rowOff>38100</xdr:rowOff>
        </xdr:from>
        <xdr:to>
          <xdr:col>29</xdr:col>
          <xdr:colOff>1231900</xdr:colOff>
          <xdr:row>5</xdr:row>
          <xdr:rowOff>38100</xdr:rowOff>
        </xdr:to>
        <xdr:sp macro="" textlink="">
          <xdr:nvSpPr>
            <xdr:cNvPr id="26691" name="Button 67" hidden="1">
              <a:extLst>
                <a:ext uri="{63B3BB69-23CF-44E3-9099-C40C66FF867C}">
                  <a14:compatExt spid="_x0000_s26691"/>
                </a:ext>
                <a:ext uri="{FF2B5EF4-FFF2-40B4-BE49-F238E27FC236}">
                  <a16:creationId xmlns:a16="http://schemas.microsoft.com/office/drawing/2014/main" id="{00000000-0008-0000-0900-000043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Calculate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80647</xdr:colOff>
          <xdr:row>4</xdr:row>
          <xdr:rowOff>0</xdr:rowOff>
        </xdr:from>
        <xdr:to>
          <xdr:col>18</xdr:col>
          <xdr:colOff>328602</xdr:colOff>
          <xdr:row>7</xdr:row>
          <xdr:rowOff>1870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D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Clear sandwich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xdr:row>
          <xdr:rowOff>0</xdr:rowOff>
        </xdr:from>
        <xdr:to>
          <xdr:col>15</xdr:col>
          <xdr:colOff>0</xdr:colOff>
          <xdr:row>7</xdr:row>
          <xdr:rowOff>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D00-000002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Clear side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409250</xdr:colOff>
          <xdr:row>4</xdr:row>
          <xdr:rowOff>0</xdr:rowOff>
        </xdr:from>
        <xdr:to>
          <xdr:col>21</xdr:col>
          <xdr:colOff>191594</xdr:colOff>
          <xdr:row>7</xdr:row>
          <xdr:rowOff>1870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0D00-000003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Clear</a:t>
              </a:r>
            </a:p>
            <a:p>
              <a:pPr algn="ctr" rtl="0">
                <a:defRPr sz="1000"/>
              </a:pPr>
              <a:r>
                <a:rPr lang="en-NZ" sz="1000" b="0" i="0" u="none" strike="noStrike" baseline="0">
                  <a:solidFill>
                    <a:srgbClr val="000000"/>
                  </a:solidFill>
                  <a:latin typeface="Calibri"/>
                  <a:cs typeface="Calibri"/>
                </a:rPr>
                <a:t>all selections</a:t>
              </a:r>
            </a:p>
          </xdr:txBody>
        </xdr:sp>
        <xdr:clientData fPrintsWithSheet="0"/>
      </xdr:twoCellAnchor>
    </mc:Choice>
    <mc:Fallback/>
  </mc:AlternateContent>
  <xdr:twoCellAnchor>
    <xdr:from>
      <xdr:col>22</xdr:col>
      <xdr:colOff>0</xdr:colOff>
      <xdr:row>8</xdr:row>
      <xdr:rowOff>0</xdr:rowOff>
    </xdr:from>
    <xdr:to>
      <xdr:col>27</xdr:col>
      <xdr:colOff>0</xdr:colOff>
      <xdr:row>21</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25</xdr:col>
          <xdr:colOff>114300</xdr:colOff>
          <xdr:row>4</xdr:row>
          <xdr:rowOff>0</xdr:rowOff>
        </xdr:from>
        <xdr:to>
          <xdr:col>27</xdr:col>
          <xdr:colOff>25400</xdr:colOff>
          <xdr:row>6</xdr:row>
          <xdr:rowOff>191594</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D00-000004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1000" b="0" i="0" u="none" strike="noStrike" baseline="0">
                  <a:solidFill>
                    <a:srgbClr val="000000"/>
                  </a:solidFill>
                  <a:latin typeface="Calibri"/>
                  <a:cs typeface="Calibri"/>
                </a:rPr>
                <a:t>Calculate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smin Chiu" id="{793A85D7-E65B-4391-B054-EB8E7B002CD2}" userId="5df57cebfb67c8d0"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A0BD5F6-BF92-4028-99B4-D21799D883CC}" name="MeatT" displayName="MeatT" ref="A2:K27" totalsRowShown="0" headerRowDxfId="356" dataDxfId="355">
  <autoFilter ref="A2:K27" xr:uid="{BA0BD5F6-BF92-4028-99B4-D21799D883CC}"/>
  <sortState xmlns:xlrd2="http://schemas.microsoft.com/office/spreadsheetml/2017/richdata2" ref="A3:K27">
    <sortCondition ref="A2:A27"/>
  </sortState>
  <tableColumns count="11">
    <tableColumn id="1" xr3:uid="{92BCB764-58A0-4ABF-A8B4-8AD9B465B85E}" name="Meat (6-inch / Wrap)" dataDxfId="72"/>
    <tableColumn id="2" xr3:uid="{BC7B6101-4169-4F7F-BCFA-33FF99B5DFD4}" name="Serving Size (g)" dataDxfId="71"/>
    <tableColumn id="3" xr3:uid="{F728A40A-E82E-4CF8-A86C-EB47ED013AE4}" name="Energy (kJ)" dataDxfId="70"/>
    <tableColumn id="4" xr3:uid="{FEEF10EF-8BBF-4000-8E2E-35DF64784EDF}" name="Energy (kcal)" dataDxfId="69"/>
    <tableColumn id="5" xr3:uid="{D327E18F-6E5A-40E9-BC67-81B7F7AA7A5E}" name="Protein (g)" dataDxfId="68"/>
    <tableColumn id="6" xr3:uid="{6FE82A4B-0E30-404A-8D2D-E6A5E5A8D04C}" name="Fat, Total (g)" dataDxfId="67"/>
    <tableColumn id="7" xr3:uid="{81DB135E-D038-472E-B704-4A1C5072181B}" name="Sat. Fat (g)" dataDxfId="66"/>
    <tableColumn id="8" xr3:uid="{25709E40-7336-4C9A-BBEC-B517B33BC7CD}" name="Carbohydrates (g)" dataDxfId="65"/>
    <tableColumn id="9" xr3:uid="{AAFD3A63-CB7C-4EA7-8D3F-53577E55C6C3}" name="Sugars (g)" dataDxfId="64"/>
    <tableColumn id="10" xr3:uid="{B6A13038-27B8-473C-981E-B111DC847FA7}" name="Dietary Fiber (g)" dataDxfId="63"/>
    <tableColumn id="11" xr3:uid="{0167179F-A2A1-4629-AFA3-23C84D299EDE}" name="Sodium (mg)"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C1D6E77-F6A7-4393-9703-C09B5386B24B}" name="MToppingsT" displayName="MToppingsT" ref="A31:K39" totalsRowShown="0" headerRowDxfId="354" dataDxfId="353">
  <autoFilter ref="A31:K39" xr:uid="{CC1D6E77-F6A7-4393-9703-C09B5386B24B}"/>
  <tableColumns count="11">
    <tableColumn id="1" xr3:uid="{48F0C78D-3496-4932-B8F9-BE9CB07DB7C4}" name="Toppings (Meat)" dataDxfId="61"/>
    <tableColumn id="2" xr3:uid="{C5F2A716-D050-46E9-A480-4E417DE86E1F}" name="Serving Size (g)" dataDxfId="60"/>
    <tableColumn id="3" xr3:uid="{137D65A8-258E-4833-AF41-781FA8433D16}" name="Energy (kJ)" dataDxfId="59"/>
    <tableColumn id="4" xr3:uid="{3C0D2B8B-382F-44F0-8D26-77CB3C4DA97C}" name="Energy (kcal)" dataDxfId="58"/>
    <tableColumn id="5" xr3:uid="{E386E81D-CEEE-4CB5-BB5D-85183C7B3E05}" name="Protein (g)" dataDxfId="57"/>
    <tableColumn id="6" xr3:uid="{F67D8594-1341-4DF5-9697-A1E289DBE4FF}" name="Fat, Total (g)" dataDxfId="56"/>
    <tableColumn id="7" xr3:uid="{15CC0A63-E28A-431B-BF40-0C51119F786A}" name="Sat. Fat (g)" dataDxfId="55"/>
    <tableColumn id="8" xr3:uid="{5C1BDBF1-245B-4F57-A98C-B3140ADA4C0F}" name="Carbohydrates (g)" dataDxfId="54"/>
    <tableColumn id="9" xr3:uid="{A6962FB9-14AC-4169-AECE-22D0CAB0C538}" name="Sugars (g)" dataDxfId="53"/>
    <tableColumn id="10" xr3:uid="{C635EE86-58A8-48FB-B461-988F7F4F6638}" name="Dietary Fiber (g)" dataDxfId="52"/>
    <tableColumn id="11" xr3:uid="{647BACFF-3F80-4177-8014-3A0E90FEA4D6}" name="Sodium (mg)" dataDxfId="51"/>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8D1A82-5FEC-40E5-BD68-2F09F86471BC}" name="BBQPorkVT" displayName="BBQPorkVT" ref="A41:K48" totalsRowShown="0" headerRowDxfId="352" dataDxfId="351">
  <autoFilter ref="A41:K48" xr:uid="{BE8D1A82-5FEC-40E5-BD68-2F09F86471BC}"/>
  <tableColumns count="11">
    <tableColumn id="1" xr3:uid="{686290FC-17C5-4B75-9F4A-3CAE1642D336}" name="Toppings (BBQ Pulled Pork )" dataDxfId="50"/>
    <tableColumn id="2" xr3:uid="{51DAD63C-5180-41E7-A144-374C8FFD433E}" name="Serving Size (g)" dataDxfId="49"/>
    <tableColumn id="3" xr3:uid="{61ADE4E0-394C-462E-9894-C1D8957A3832}" name="Energy (kJ)" dataDxfId="48"/>
    <tableColumn id="4" xr3:uid="{A6807EC9-B7BE-405E-843D-237C0F1FFBB2}" name="Energy (kcal)" dataDxfId="47"/>
    <tableColumn id="5" xr3:uid="{31897BF4-4044-4F24-BF36-EDCEFF5C9056}" name="Protein (g)" dataDxfId="46"/>
    <tableColumn id="6" xr3:uid="{9E4EAE3C-351B-4A80-9D2E-E78B28330E12}" name="Fat, Total (g)" dataDxfId="45"/>
    <tableColumn id="7" xr3:uid="{E5659D75-06E6-4185-BD33-B668ECEBC987}" name="Sat. Fat (g)" dataDxfId="44"/>
    <tableColumn id="8" xr3:uid="{EC634045-AD31-42AB-A214-84DB3B7FC86C}" name="Carbohydrates (g)" dataDxfId="43"/>
    <tableColumn id="9" xr3:uid="{67C4B1E4-744E-45AA-A683-5BE6D39BD252}" name="Sugars (g)" dataDxfId="42"/>
    <tableColumn id="10" xr3:uid="{B4EF5E81-1B13-4432-A457-1A45503DB548}" name="Dietary Fiber (g)" dataDxfId="41"/>
    <tableColumn id="11" xr3:uid="{1DCC4FCA-F60F-410C-8EC5-CA0F65E67FB4}" name="Sodium (mg)" dataDxfId="40"/>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DD499D0-A8DD-4C62-9E16-3E93CDEA2D2F}" name="BBQPorkBVT" displayName="BBQPorkBVT" ref="A50:K58" totalsRowShown="0" headerRowDxfId="350" dataDxfId="349">
  <autoFilter ref="A50:K58" xr:uid="{CDD499D0-A8DD-4C62-9E16-3E93CDEA2D2F}"/>
  <tableColumns count="11">
    <tableColumn id="1" xr3:uid="{A7EEFB9C-B020-404A-AF4F-F1E0E42D4AAC}" name="Toppings (BBQ Pulled Pork with Bacon)" dataDxfId="39"/>
    <tableColumn id="2" xr3:uid="{1C17CAD9-2A61-4241-8E3C-CF19A529F5DE}" name="Serving Size (g)" dataDxfId="38"/>
    <tableColumn id="3" xr3:uid="{61B2B277-F3D8-492C-920A-FF763C22D19F}" name="Energy (kJ)" dataDxfId="37"/>
    <tableColumn id="4" xr3:uid="{C06E573F-33BD-4321-8040-5FA4D5D5AB3A}" name="Energy (kcal)" dataDxfId="36"/>
    <tableColumn id="5" xr3:uid="{5CF1CCAB-02C9-4A90-AABB-4EE18A065A03}" name="Protein (g)" dataDxfId="35"/>
    <tableColumn id="6" xr3:uid="{508A6B72-0A2F-4D60-9985-6E395079F91D}" name="Fat, Total (g)" dataDxfId="34"/>
    <tableColumn id="7" xr3:uid="{CC355DAB-82B1-4E5B-8621-1DFD48D79EAD}" name="Sat. Fat (g)" dataDxfId="33"/>
    <tableColumn id="8" xr3:uid="{0CD97B44-B184-4CF0-853F-8E1EFFE7AE8F}" name="Carbohydrates (g)" dataDxfId="32"/>
    <tableColumn id="9" xr3:uid="{D35B3F75-03D0-4A27-BD42-8B1CDDC78A37}" name="Sugars (g)" dataDxfId="31"/>
    <tableColumn id="10" xr3:uid="{40771B11-0D4B-487C-B7DB-58C1BDED1D4E}" name="Dietary Fiber (g)" dataDxfId="30"/>
    <tableColumn id="11" xr3:uid="{1DB34B74-B3A0-4D75-89D4-FC4A4B2898AF}" name="Sodium (mg)" dataDxfId="29"/>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477516-CB76-431D-A0E1-9EEC294FAD91}" name="BBQPorkBVT12" displayName="BBQPorkBVT12" ref="A60:K67" totalsRowShown="0" headerRowDxfId="348" dataDxfId="347">
  <autoFilter ref="A60:K67" xr:uid="{CE477516-CB76-431D-A0E1-9EEC294FAD91}"/>
  <tableColumns count="11">
    <tableColumn id="1" xr3:uid="{EBB95FBD-596E-4340-9CB3-1181328CA06F}" name="Toppings (Breakfast)" dataDxfId="28"/>
    <tableColumn id="2" xr3:uid="{5309B025-501E-48FA-80CF-883008C8A011}" name="Serving Size (g)" dataDxfId="27"/>
    <tableColumn id="3" xr3:uid="{F4D38409-67C2-4B9C-83E2-CF513EF0EBCB}" name="Energy (kJ)" dataDxfId="26"/>
    <tableColumn id="4" xr3:uid="{7D41C5B1-9C62-40D0-B70C-7C632A28EB20}" name="Energy (kcal)" dataDxfId="25"/>
    <tableColumn id="5" xr3:uid="{71B3C0B5-1113-4A7B-B4C4-3F3C146D27F7}" name="Protein (g)" dataDxfId="24"/>
    <tableColumn id="6" xr3:uid="{B62FE42F-5967-43F7-A3AE-C26962D6F072}" name="Fat, Total (g)" dataDxfId="23"/>
    <tableColumn id="7" xr3:uid="{CDEFC918-555C-46DB-B274-2D5F5B1B2433}" name="Sat. Fat (g)" dataDxfId="22"/>
    <tableColumn id="8" xr3:uid="{5FFE7629-7CD6-461B-A0CC-63A9C2DFE40C}" name="Carbohydrates (g)" dataDxfId="21"/>
    <tableColumn id="9" xr3:uid="{C7FAEB73-7E11-434E-A493-C2EEFAEF6E8A}" name="Sugars (g)" dataDxfId="20"/>
    <tableColumn id="10" xr3:uid="{C146BBAD-273C-4E6F-94F5-9E93EB27A775}" name="Dietary Fiber (g)" dataDxfId="19"/>
    <tableColumn id="11" xr3:uid="{2F60DD32-73B3-44C8-8EC6-A0416EB0027E}" name="Sodium (mg)" dataDxfId="18"/>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11C86AC-32E8-4FE7-A1E2-AD888E1FE6F0}" name="Table26" displayName="Table26" ref="A69:K71" totalsRowShown="0" headerRowDxfId="74" dataDxfId="73">
  <autoFilter ref="A69:K71" xr:uid="{211C86AC-32E8-4FE7-A1E2-AD888E1FE6F0}"/>
  <tableColumns count="11">
    <tableColumn id="1" xr3:uid="{E44C1479-E17D-41D9-A154-D85669B40759}" name="Toppings (Melt)" dataDxfId="17"/>
    <tableColumn id="2" xr3:uid="{FB214A91-63FA-4563-9E8F-B7D0CD30154A}" name="Serving Size (g)" dataDxfId="16"/>
    <tableColumn id="3" xr3:uid="{D9CC1B61-E7F6-4099-B4A0-4B585D72E855}" name="Energy (kJ)" dataDxfId="15"/>
    <tableColumn id="4" xr3:uid="{A611CD9D-CAE7-47A2-B50E-8462413749B7}" name="Energy (kcal)" dataDxfId="14"/>
    <tableColumn id="5" xr3:uid="{E97AA6F1-E92C-4023-A9CC-78B21288C6AE}" name="Protein (g)" dataDxfId="13"/>
    <tableColumn id="6" xr3:uid="{62FA615A-4EE4-4C54-9467-9900462E4058}" name="Fat, Total (g)" dataDxfId="12"/>
    <tableColumn id="7" xr3:uid="{B19250E9-091D-44F6-B14F-ADF22E45B892}" name="Sat. Fat (g)" dataDxfId="11"/>
    <tableColumn id="8" xr3:uid="{82871E0C-0180-4625-8E39-3BA696FAEAFA}" name="Carbohydrates (g)" dataDxfId="10"/>
    <tableColumn id="9" xr3:uid="{9EFDC7CC-3C33-4DBF-87BE-D3FD35B24779}" name="Sugars (g)" dataDxfId="9"/>
    <tableColumn id="10" xr3:uid="{063EE423-EA8E-4329-942F-6BA904A68EF6}" name="Dietary Fiber (g)" dataDxfId="8"/>
    <tableColumn id="11" xr3:uid="{A8E05A5D-77D0-4A8F-8CFA-F2311023AFAA}" name="Sodium (mg)" dataDxfId="7"/>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42FDF9C-B777-4107-8D25-D5D71DD01267}" name="BreadT" displayName="BreadT" ref="A1:K6" totalsRowShown="0" headerRowDxfId="346">
  <autoFilter ref="A1:K6" xr:uid="{842FDF9C-B777-4107-8D25-D5D71DD01267}"/>
  <tableColumns count="11">
    <tableColumn id="1" xr3:uid="{758DB4C8-7692-44CA-B22F-B7F6F9758810}" name="6-inch" dataDxfId="345"/>
    <tableColumn id="2" xr3:uid="{938BDAEE-D847-4C93-B0E7-B8F448853F33}" name="Serving Size (g)" dataDxfId="344"/>
    <tableColumn id="3" xr3:uid="{ED72FC94-A62C-436C-8621-B340AF17F886}" name="Energy (kJ)" dataDxfId="343"/>
    <tableColumn id="4" xr3:uid="{58695C7E-5F95-4AE3-BF6B-7A4B1C6C9EDD}" name="Energy (kcal)" dataDxfId="342"/>
    <tableColumn id="5" xr3:uid="{33FE0E3B-D9F2-4F63-A2F8-C4979B0E0415}" name="Protein (g)" dataDxfId="341"/>
    <tableColumn id="6" xr3:uid="{D02B05B5-1393-4CE6-9CA6-79172E909B69}" name="Fat, Total (g)" dataDxfId="340"/>
    <tableColumn id="7" xr3:uid="{9F215D89-50D2-4589-8AD0-FBE37F5226DC}" name="Sat. Fat (g)" dataDxfId="339"/>
    <tableColumn id="8" xr3:uid="{8F71CE06-EF92-4051-878E-C8850BA3713F}" name="Carbohydrates (g)" dataDxfId="338"/>
    <tableColumn id="9" xr3:uid="{2E7FF9C9-F2F0-44D3-AD78-B9928E3E51C8}" name="Sugars (g)" dataDxfId="337"/>
    <tableColumn id="10" xr3:uid="{31288D6D-C436-4738-8085-E465AB48CA1B}" name="Dietary Fiber (g)" dataDxfId="336"/>
    <tableColumn id="11" xr3:uid="{17C516B8-26EF-4B0F-9580-73CC53E87959}" name="Sodium (mg)" dataDxfId="3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C106699-8D0B-4103-800A-BFFC841DC1E6}" name="CheeseT" displayName="CheeseT" ref="A1:M4" totalsRowShown="0" headerRowDxfId="334" dataDxfId="333">
  <autoFilter ref="A1:M4" xr:uid="{2C106699-8D0B-4103-800A-BFFC841DC1E6}"/>
  <tableColumns count="13">
    <tableColumn id="1" xr3:uid="{33957E3F-0144-4A7F-A158-9A93735F6266}" name="Cheese (6-inch / Wrap)" dataDxfId="332"/>
    <tableColumn id="13" xr3:uid="{11B5B92F-7F68-4976-B68D-2710657C5533}" name="Serving Count" dataDxfId="331"/>
    <tableColumn id="12" xr3:uid="{825D3FD2-EBE4-404E-85E7-F4B8DC9C5065}" name="Serving Units" dataDxfId="330"/>
    <tableColumn id="2" xr3:uid="{50A0B66A-56B2-4200-A82F-224D078674E4}" name="Serving Size (g)" dataDxfId="329"/>
    <tableColumn id="3" xr3:uid="{42BDDDF5-4A4B-4712-B39A-2E5563CF54A0}" name="Energy (kJ)" dataDxfId="328"/>
    <tableColumn id="4" xr3:uid="{3191470C-5F60-422F-8ADC-2C883AA3BD95}" name="Energy (kcal)" dataDxfId="327"/>
    <tableColumn id="5" xr3:uid="{84464C5C-BC61-4BC9-AFB5-C5F503470928}" name="Protein (g)" dataDxfId="326"/>
    <tableColumn id="6" xr3:uid="{BA966075-6740-4173-BAA3-89B1FB961950}" name="Fat, Total (g)" dataDxfId="325"/>
    <tableColumn id="7" xr3:uid="{45E263F3-1C55-4BAB-A611-1E5497A9BE94}" name="Sat. Fat (g)" dataDxfId="324"/>
    <tableColumn id="8" xr3:uid="{C9D1074F-9A98-41B3-BB1F-62379822DECB}" name="Carbohydrates (g)" dataDxfId="323"/>
    <tableColumn id="9" xr3:uid="{66504AD3-F177-42E8-A5A3-D2B77EAB846F}" name="Sugars (g)" dataDxfId="322"/>
    <tableColumn id="10" xr3:uid="{B02E0AE6-F8B9-4E3E-BC37-8C69C26DB4F0}" name="Dietary Fiber (g)" dataDxfId="321"/>
    <tableColumn id="11" xr3:uid="{148CA630-16E9-445F-931E-80E7CB96494E}" name="Sodium (mg)" dataDxfId="32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15CE52D-B800-4CD0-8C51-9A3E363ADA20}" name="CheeseIT" displayName="CheeseIT" ref="A7:M9" totalsRowShown="0" headerRowDxfId="319" dataDxfId="318">
  <autoFilter ref="A7:M9" xr:uid="{F15CE52D-B800-4CD0-8C51-9A3E363ADA20}"/>
  <tableColumns count="13">
    <tableColumn id="1" xr3:uid="{5D1DDBBD-E524-4A6B-97CC-7F3BE983302E}" name="Cheese (Individual)" dataDxfId="317"/>
    <tableColumn id="13" xr3:uid="{C7B49654-5ADB-4FA1-B535-03F2565A1DE4}" name="Serving Count" dataDxfId="316"/>
    <tableColumn id="12" xr3:uid="{51387183-C169-497B-A4A6-8D409DEE57A1}" name="Serving Units" dataDxfId="315"/>
    <tableColumn id="2" xr3:uid="{E8B7E19D-FF33-435D-8C69-A6C0A994BD7C}" name="Serving Size (g)" dataDxfId="314"/>
    <tableColumn id="3" xr3:uid="{AA0402C2-99B5-4C5C-8E31-F63BCD20E6CC}" name="Energy (kJ)" dataDxfId="313"/>
    <tableColumn id="4" xr3:uid="{77A4048F-4B7E-4D65-B536-8EF161BD9DB0}" name="Energy (kcal)" dataDxfId="312"/>
    <tableColumn id="5" xr3:uid="{7BE2B716-945C-4E8C-A1F6-E0ADC8BBA360}" name="Protein (g)" dataDxfId="311"/>
    <tableColumn id="6" xr3:uid="{80B279C2-80B0-4725-872A-DD12C366915E}" name="Fat, Total (g)" dataDxfId="310"/>
    <tableColumn id="7" xr3:uid="{81CA778B-AB0C-4D52-880A-9F3426BD87AB}" name="Sat. Fat (g)" dataDxfId="309"/>
    <tableColumn id="8" xr3:uid="{B6BAC1C2-ABF4-4BAE-963A-7BA64DE972C8}" name="Carbohydrates (g)" dataDxfId="308"/>
    <tableColumn id="9" xr3:uid="{A964896E-36DA-4DF9-9E2E-E44705788A54}" name="Sugars (g)" dataDxfId="307"/>
    <tableColumn id="10" xr3:uid="{1CFEF981-9565-44A0-8B6C-C583C4A5D8CA}" name="Dietary Fiber (g)" dataDxfId="306"/>
    <tableColumn id="11" xr3:uid="{1A57B8C7-EDB5-4CE5-A82F-90FC797D2828}" name="Sodium (mg)" dataDxfId="305"/>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FBD4545-881D-44A1-B627-6FBD26296D77}" name="ToppingsT" displayName="ToppingsT" ref="A1:K19" totalsRowShown="0" headerRowDxfId="304" dataDxfId="303">
  <autoFilter ref="A1:K19" xr:uid="{6FBD4545-881D-44A1-B627-6FBD26296D77}"/>
  <tableColumns count="11">
    <tableColumn id="1" xr3:uid="{EC6DADF7-7B90-4E00-93BB-C3B62AD3FAFE}" name="Toppings (6-inch / Wrap)" dataDxfId="302"/>
    <tableColumn id="2" xr3:uid="{BD5745DE-2A08-439D-A1BB-EB48A9698691}" name="Serving Size (g)" dataDxfId="301"/>
    <tableColumn id="3" xr3:uid="{E2A81174-5575-4A9B-B2BF-B70A97C4F8BE}" name="Energy (kJ)" dataDxfId="300"/>
    <tableColumn id="4" xr3:uid="{3294B9AE-DF0E-492A-99D5-F1D3C1A40198}" name="Energy (kcal)" dataDxfId="299"/>
    <tableColumn id="5" xr3:uid="{A4D49AB0-A528-4A7B-8A20-DD626C19EE7F}" name="Protein (g)" dataDxfId="298"/>
    <tableColumn id="6" xr3:uid="{ED90C211-646E-481D-B2E4-9A061A5E5E91}" name="Fat, Total (g)" dataDxfId="297"/>
    <tableColumn id="7" xr3:uid="{ECED1EEE-8364-4215-B090-9F39AB9DA98B}" name="Sat. Fat (g)" dataDxfId="296"/>
    <tableColumn id="8" xr3:uid="{6E6236B4-BFA5-4A29-9CF8-0E501485286C}" name="Carbohydrates (g)" dataDxfId="295"/>
    <tableColumn id="9" xr3:uid="{E2F78B6C-D988-4256-B2DB-1AB9D6A4FFB6}" name="Sugars (g)" dataDxfId="294"/>
    <tableColumn id="10" xr3:uid="{84FCCDED-A849-4A91-B5E1-C65BBFD0929C}" name="Dietary Fiber (g)" dataDxfId="293"/>
    <tableColumn id="11" xr3:uid="{85A7C8B9-B5CF-4842-939F-0901A0832487}" name="Sodium (mg)" dataDxfId="29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9F7264E-9959-4B44-B9D5-33D5ED42541D}" name="VegSel" displayName="VegSel" ref="A5:C18" totalsRowShown="0" headerRowDxfId="291" dataDxfId="290" tableBorderDxfId="289">
  <autoFilter ref="A5:C18" xr:uid="{89F7264E-9959-4B44-B9D5-33D5ED42541D}"/>
  <tableColumns count="3">
    <tableColumn id="1" xr3:uid="{8EFA29EC-6DE5-49A5-A602-F8B5B6AB5E2A}" name="Vegetables selected" dataDxfId="288"/>
    <tableColumn id="2" xr3:uid="{950891C7-6051-41F3-BBC4-C30407BC2ABC}" name="TRUE / FALSE" dataDxfId="287"/>
    <tableColumn id="3" xr3:uid="{9C90DB0D-5482-4C33-9BE3-42390B0A53A5}" name="Servings" dataDxfId="286">
      <calculatedColumnFormula>IF(Selections!$B6, IF(AND(MATCH(Selections!$A6, 'Sandwich UI'!$E:$E, 0) &gt;= 17, MATCH(Selections!$A6, 'Sandwich UI'!$E:$E, 0) &lt;= 22), IF(ISNUMBER(VLOOKUP(Selections!$A6, 'Sandwich UI'!$E$17:$H$22, 3, FALSE)), VLOOKUP(Selections!$A6, 'Sandwich UI'!$E$17:$H$22, 3, FALSE), "Default"), "Default"), "")</calculatedColumnFormula>
    </tableColumn>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C3C92C5-F2C5-40F1-9909-6096ED0D5D2D}" name="DressingSel" displayName="DressingSel" ref="E5:F17" totalsRowShown="0" headerRowDxfId="285" dataDxfId="284" tableBorderDxfId="283">
  <autoFilter ref="E5:F17" xr:uid="{6C3C92C5-F2C5-40F1-9909-6096ED0D5D2D}"/>
  <tableColumns count="2">
    <tableColumn id="1" xr3:uid="{4D1D6F7D-2591-4A3A-A195-1F71676C4901}" name="Dressings selected" dataDxfId="282"/>
    <tableColumn id="2" xr3:uid="{5C624A0A-2ADD-4F82-A4E8-D33CCECF433E}" name="TRUE / FALSE" dataDxfId="281"/>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C00944A-26B0-433B-ABD1-0C1E97DDA763}" name="ToppingSel" displayName="ToppingSel" ref="H5:I23" totalsRowShown="0" headerRowDxfId="280" dataDxfId="279" tableBorderDxfId="278">
  <autoFilter ref="H5:I23" xr:uid="{5C00944A-26B0-433B-ABD1-0C1E97DDA763}"/>
  <tableColumns count="2">
    <tableColumn id="1" xr3:uid="{71262608-4D07-43E3-BB8B-1BEE89BA087E}" name="Toppings selected" dataDxfId="277"/>
    <tableColumn id="2" xr3:uid="{9740513E-F9AA-4AF0-958D-6C56EB088C13}" name="TRUE / FALSE" dataDxfId="276"/>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DD9497E-5A5D-4F74-A90E-D2D011A49F72}" name="CheeseSel" displayName="CheeseSel" ref="A20:C23" totalsRowShown="0" headerRowDxfId="275" dataDxfId="274" tableBorderDxfId="273">
  <autoFilter ref="A20:C23" xr:uid="{CDD9497E-5A5D-4F74-A90E-D2D011A49F72}"/>
  <tableColumns count="3">
    <tableColumn id="1" xr3:uid="{821C7585-2CF4-43B2-B313-D6AA43146DBF}" name="Cheese selected" dataDxfId="272"/>
    <tableColumn id="2" xr3:uid="{0AF25011-CDAF-4F52-9E7B-955BEC14D2C5}" name="TRUE / FALSE" dataDxfId="271"/>
    <tableColumn id="3" xr3:uid="{26066A75-0E24-4316-B30C-5242B36F958D}" name="Servings" dataDxfId="270">
      <calculatedColumnFormula>IF(ISNUMBER(VLOOKUP(Selections!$A21, 'Sandwich UI'!$E$27:$H$29, 3, FALSE)), VLOOKUP(Selections!$A21, 'Sandwich UI'!$E$27:$H$29, 3, FALSE), "Default")</calculatedColumnFormula>
    </tableColumn>
  </tableColumns>
  <tableStyleInfo name="TableStyleMedium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5E5B9C0-10D5-424E-88A0-45E5C5A7E14C}" name="SeasoningSel" displayName="SeasoningSel" ref="E21:F23" totalsRowShown="0" headerRowDxfId="269" dataDxfId="268" tableBorderDxfId="267">
  <autoFilter ref="E21:F23" xr:uid="{15E5B9C0-10D5-424E-88A0-45E5C5A7E14C}"/>
  <tableColumns count="2">
    <tableColumn id="1" xr3:uid="{C26D5BB9-0B5C-4544-9635-B6C475E6109F}" name="Seasonings selected" dataDxfId="266"/>
    <tableColumn id="2" xr3:uid="{285B2009-B98F-4A47-A34F-AE85B240B893}" name="TRUE / FALSE" dataDxfId="265"/>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984F209-A049-4003-9A43-CE6815C5DDC0}" name="SandwichSelectionT" displayName="SandwichSelectionT" ref="D30:H48" totalsRowShown="0" headerRowDxfId="264" dataDxfId="263">
  <autoFilter ref="D30:H48" xr:uid="{9984F209-A049-4003-9A43-CE6815C5DDC0}"/>
  <tableColumns count="5">
    <tableColumn id="1" xr3:uid="{401A53D1-CBB4-405A-9D2F-E69550B7D3C3}" name="Vegetables" dataDxfId="262"/>
    <tableColumn id="2" xr3:uid="{91FD26D0-2BBB-4602-BA2F-CB32DAF2C8D9}" name="Cheese" dataDxfId="261"/>
    <tableColumn id="3" xr3:uid="{D71C2E5B-D76C-4EA9-97FB-8A2C50A64CD5}" name="Seasonings" dataDxfId="260"/>
    <tableColumn id="4" xr3:uid="{3A3D3797-F989-4621-8EE1-E8ACDA327C0A}" name="Toppings" dataDxfId="259"/>
    <tableColumn id="5" xr3:uid="{581C0D20-55CC-444F-B334-B96F7DF53E89}" name="Dressings" dataDxfId="258"/>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A553D12-0061-4EAE-B274-B92186ACC95C}" name="CookieSel" displayName="CookieSel" ref="K5:L10" totalsRowShown="0" headerRowDxfId="257" dataDxfId="256">
  <autoFilter ref="K5:L10" xr:uid="{5A553D12-0061-4EAE-B274-B92186ACC95C}"/>
  <tableColumns count="2">
    <tableColumn id="1" xr3:uid="{8C1ECCEA-3A0F-47A5-AE88-9B578ACE1886}" name="Cookies selected" dataDxfId="255"/>
    <tableColumn id="2" xr3:uid="{42CD8FAA-70C4-48D7-8387-10BF02959895}" name="TRUE / FALSE" dataDxfId="254"/>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2FC1E3F-ABBB-48E2-BE83-163C827F31CC}" name="SnackSel" displayName="SnackSel" ref="K12:L18" totalsRowShown="0" headerRowDxfId="253" dataDxfId="252">
  <autoFilter ref="K12:L18" xr:uid="{82FC1E3F-ABBB-48E2-BE83-163C827F31CC}"/>
  <tableColumns count="2">
    <tableColumn id="1" xr3:uid="{BDD6457F-42D3-4D36-897A-3FFB88D31C94}" name="Snacks selected" dataDxfId="251"/>
    <tableColumn id="2" xr3:uid="{CEACD04B-6369-4FA8-9AF5-431578C43A9D}" name="TRUE / FALSE" dataDxfId="250"/>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1FC331E-CC52-48B8-8247-53D27C5064D5}" name="DanishSel" displayName="DanishSel" ref="N5:O8" totalsRowShown="0" headerRowDxfId="249" dataDxfId="248">
  <autoFilter ref="N5:O8" xr:uid="{D1FC331E-CC52-48B8-8247-53D27C5064D5}"/>
  <tableColumns count="2">
    <tableColumn id="1" xr3:uid="{C828113B-EC63-485A-8186-F2B7243AA8D1}" name="Danishes selected" dataDxfId="247"/>
    <tableColumn id="2" xr3:uid="{D77586E0-E44D-477A-97D5-33CBA049195F}" name="TRUE / FALSE" dataDxfId="246"/>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E3B99E7-E9B9-4C30-9BBA-F2A18DBA5552}" name="SmoothieSel" displayName="SmoothieSel" ref="N10:O13" totalsRowShown="0" headerRowDxfId="245" dataDxfId="244">
  <autoFilter ref="N10:O13" xr:uid="{6E3B99E7-E9B9-4C30-9BBA-F2A18DBA5552}"/>
  <tableColumns count="2">
    <tableColumn id="1" xr3:uid="{2B4849DE-39F7-48E5-86C8-E775AC416CC3}" name="Smoothies selected" dataDxfId="243"/>
    <tableColumn id="2" xr3:uid="{DFFCF4A1-1FB9-4C25-8ED2-FEFCED877DB0}" name="TRUE / FALSE" dataDxfId="242"/>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D25B9F2-2CB4-44B6-B2F2-69385FCBCF03}" name="PureeSel" displayName="PureeSel" ref="N15:O18" totalsRowShown="0" headerRowDxfId="241" dataDxfId="240">
  <autoFilter ref="N15:O18" xr:uid="{8D25B9F2-2CB4-44B6-B2F2-69385FCBCF03}"/>
  <tableColumns count="2">
    <tableColumn id="1" xr3:uid="{C3154F33-3892-481C-B379-D06A217CC708}" name="Purees selected" dataDxfId="239"/>
    <tableColumn id="2" xr3:uid="{4C6559B7-4224-4F96-BAFE-1439444895D8}" name="TRUE / FALSE" dataDxfId="238"/>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F97734F-832D-4920-94FE-F9B7FDB55CA5}" name="SideSelectionT" displayName="SideSelectionT" ref="K30:O48" totalsRowShown="0" headerRowDxfId="237" dataDxfId="236">
  <autoFilter ref="K30:O48" xr:uid="{EF97734F-832D-4920-94FE-F9B7FDB55CA5}"/>
  <tableColumns count="5">
    <tableColumn id="1" xr3:uid="{CBCF5260-70A8-4823-9D8C-0CD25847B665}" name="Cookies" dataDxfId="235"/>
    <tableColumn id="2" xr3:uid="{348BA10E-0521-4612-A1F1-0F0E4A2DFE7F}" name="Snacks" dataDxfId="234"/>
    <tableColumn id="3" xr3:uid="{30D34E56-9B45-4CF7-9BFA-9460E6E9FD9A}" name="Danishes" dataDxfId="233"/>
    <tableColumn id="4" xr3:uid="{C0C9DB83-F741-498C-A50D-CB75355DF007}" name="Smoothies" dataDxfId="232"/>
    <tableColumn id="5" xr3:uid="{364BEF26-7137-48E7-814E-3672D89A1421}" name="Purees" dataDxfId="231"/>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37430C7-F2DD-4E0C-837B-E3C7C263EAE6}" name="VegT" displayName="VegT" ref="A1:M14" totalsRowShown="0" headerRowDxfId="230" dataDxfId="229">
  <autoFilter ref="A1:M14" xr:uid="{937430C7-F2DD-4E0C-837B-E3C7C263EAE6}"/>
  <sortState xmlns:xlrd2="http://schemas.microsoft.com/office/spreadsheetml/2017/richdata2" ref="A8:M13">
    <sortCondition ref="A1:A14"/>
  </sortState>
  <tableColumns count="13">
    <tableColumn id="1" xr3:uid="{6D432C98-0C7D-47B6-BB86-B00720E131C4}" name="Vegetables (6-inch/Wrap)" dataDxfId="228"/>
    <tableColumn id="2" xr3:uid="{7F884703-C33E-4170-96E2-978B9BD7709C}" name="Serving Count" dataDxfId="227"/>
    <tableColumn id="3" xr3:uid="{289BE9F7-A206-4414-8F53-9ADD13D972A7}" name="Serving Units" dataDxfId="226"/>
    <tableColumn id="4" xr3:uid="{C2C43CF1-6664-42B2-B005-FFD760CB6C07}" name="Serving Size (g)" dataDxfId="225"/>
    <tableColumn id="5" xr3:uid="{FF30EFD7-FF71-4385-9999-F82F56F07186}" name="Energy (kJ)" dataDxfId="224"/>
    <tableColumn id="6" xr3:uid="{ACE4A346-4B72-4E12-8D04-8F3F9A2B2FA0}" name="Energy (kcal)" dataDxfId="223"/>
    <tableColumn id="7" xr3:uid="{8B8A7AEB-BC42-46D5-B5DE-C4FBAB34F228}" name="Protein (g)" dataDxfId="222"/>
    <tableColumn id="8" xr3:uid="{B6E2114A-9F5E-4B94-B146-B7C4E748AAC9}" name="Fat, Total (g)" dataDxfId="221"/>
    <tableColumn id="9" xr3:uid="{1D8BA99E-4667-499B-8EF0-743160A3201A}" name="Sat. Fat (g)" dataDxfId="220"/>
    <tableColumn id="10" xr3:uid="{F2DE81BE-D539-4B22-A530-9EF942C699C8}" name="Carbohydrates (g)" dataDxfId="219"/>
    <tableColumn id="11" xr3:uid="{6957DB56-D29F-4723-B4EB-FA0867852275}" name="Sugars (g)" dataDxfId="218"/>
    <tableColumn id="12" xr3:uid="{DD8748C1-01F6-45B5-86F5-9C130C328C3C}" name="Dietary Fiber (g)" dataDxfId="217"/>
    <tableColumn id="13" xr3:uid="{65C31837-CB3E-4201-9673-2911256F1C39}" name="Sodium (mg)" dataDxfId="21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E774997-D040-4538-BC6D-1575B8FBFC41}" name="IVegT" displayName="IVegT" ref="A54:M61" totalsRowCount="1" headerRowDxfId="215" dataDxfId="214">
  <autoFilter ref="A54:M60" xr:uid="{4E774997-D040-4538-BC6D-1575B8FBFC41}"/>
  <sortState xmlns:xlrd2="http://schemas.microsoft.com/office/spreadsheetml/2017/richdata2" ref="A55:M60">
    <sortCondition ref="A54:A60"/>
  </sortState>
  <tableColumns count="13">
    <tableColumn id="1" xr3:uid="{A7A4A67E-6871-4F04-A383-524338D28C6D}" name="Column1" dataDxfId="213" totalsRowDxfId="212"/>
    <tableColumn id="2" xr3:uid="{9257B17C-36D3-4B36-9648-3EB8269E1F73}" name="Column2" dataDxfId="211" totalsRowDxfId="210"/>
    <tableColumn id="3" xr3:uid="{DD373C04-5E20-43BB-9275-CC218FDA9DF1}" name="Column3" dataDxfId="209" totalsRowDxfId="208"/>
    <tableColumn id="4" xr3:uid="{5D1CA00A-CF9A-49B4-A569-4CF06DF294CF}" name="Column4" dataDxfId="207" totalsRowDxfId="206"/>
    <tableColumn id="5" xr3:uid="{5CC988CD-9ABA-4474-AB41-7F14A552C200}" name="Column5" dataDxfId="205" totalsRowDxfId="204"/>
    <tableColumn id="6" xr3:uid="{E6F1D0C4-F94B-412D-A661-489D2EA99BDD}" name="Column6" dataDxfId="203" totalsRowDxfId="202"/>
    <tableColumn id="7" xr3:uid="{7A5FA7B0-0F9D-49CB-BEF1-916923876545}" name="Column7" dataDxfId="201" totalsRowDxfId="200"/>
    <tableColumn id="8" xr3:uid="{3531F169-7830-47F6-A76A-AB8ACCB8F870}" name="Column8" dataDxfId="199" totalsRowDxfId="198"/>
    <tableColumn id="9" xr3:uid="{FF71A48D-72B6-4A58-B3D2-CDAC80DEE1D7}" name="Column9" dataDxfId="197" totalsRowDxfId="196"/>
    <tableColumn id="10" xr3:uid="{8D65EADB-55BF-40FE-B229-7218155B820C}" name="Column10" dataDxfId="195" totalsRowDxfId="194"/>
    <tableColumn id="11" xr3:uid="{EF98C10B-6A44-46CE-97E8-A3ADC12506BD}" name="Column11" dataDxfId="193" totalsRowDxfId="192"/>
    <tableColumn id="12" xr3:uid="{C807BB54-B29E-4953-9D84-BE616B5E6A85}" name="Column12" dataDxfId="191" totalsRowDxfId="190"/>
    <tableColumn id="13" xr3:uid="{02E4DFE6-0FDA-4847-A390-2D73F4D5FCA7}" name="Column13" dataDxfId="189" totalsRowDxfId="188"/>
  </tableColumns>
  <tableStyleInfo name="TableStyleMedium4"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FF82E38-B3A0-4B45-ACA6-A81BF46D07F7}" name="VegIT" displayName="VegIT" ref="A17:M23" totalsRowShown="0" headerRowDxfId="187" dataDxfId="185" headerRowBorderDxfId="186" tableBorderDxfId="184" totalsRowBorderDxfId="183">
  <autoFilter ref="A17:M23" xr:uid="{6FF82E38-B3A0-4B45-ACA6-A81BF46D07F7}"/>
  <tableColumns count="13">
    <tableColumn id="1" xr3:uid="{2B657586-0174-4C95-8512-91C93C8BAE52}" name="Veggies - Individual" dataDxfId="182"/>
    <tableColumn id="2" xr3:uid="{3A49CC06-803B-41A7-9FB2-24DDE63DFCDC}" name="Serving Count" dataDxfId="181"/>
    <tableColumn id="3" xr3:uid="{EE168EDA-662B-4C23-A8B7-882C9CD70F7D}" name="Serving Units" dataDxfId="180"/>
    <tableColumn id="4" xr3:uid="{7CD180EA-A827-4A82-ACEA-E5288D2F5509}" name="Serving Size (g)" dataDxfId="179"/>
    <tableColumn id="5" xr3:uid="{828A301B-581D-413C-9C00-3CB2F88E09AA}" name="Energy (kJ)" dataDxfId="178"/>
    <tableColumn id="6" xr3:uid="{888C5B9E-8CAC-4CD1-BF10-5BB2E51C7AEB}" name="Energy (kcal)" dataDxfId="177"/>
    <tableColumn id="7" xr3:uid="{CFEB4E95-90B5-4F6E-8CB1-5BCE528B8711}" name="Protein (g)" dataDxfId="176"/>
    <tableColumn id="8" xr3:uid="{81F7C35C-091A-416B-89E6-F5B9976BADD0}" name="Fat, Total (g)" dataDxfId="175"/>
    <tableColumn id="9" xr3:uid="{2645A5CD-A80F-4BD7-B76D-2C1AD2696FF3}" name="Sat. Fat (g)" dataDxfId="174"/>
    <tableColumn id="10" xr3:uid="{C39F7AA0-64F9-4F10-9B68-07DB26E73DCD}" name="Carbohydrates (g)" dataDxfId="173"/>
    <tableColumn id="11" xr3:uid="{38534B51-9323-428F-961F-B7A72381711C}" name="Sugars (g)" dataDxfId="172"/>
    <tableColumn id="12" xr3:uid="{174E8647-686D-43A8-AB1C-6A794E70A120}" name="Dietary Fiber (g)" dataDxfId="171"/>
    <tableColumn id="13" xr3:uid="{D139D1F6-40BF-47B4-A7CB-2C4D633BF3CA}" name="Sodium (mg)" dataDxfId="170"/>
  </tableColumns>
  <tableStyleInfo name="TableStyleMedium4"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82647B1-7A58-4CBC-AE3F-9AF5A534B9BD}" name="DressingsT" displayName="DressingsT" ref="A1:K13" totalsRowShown="0" headerRowDxfId="169" dataDxfId="168">
  <autoFilter ref="A1:K13" xr:uid="{382647B1-7A58-4CBC-AE3F-9AF5A534B9BD}"/>
  <tableColumns count="11">
    <tableColumn id="1" xr3:uid="{ED4DF9A3-3721-46AD-B648-E2DA080F8453}" name="Dressings (6-inch / Wrap)" dataDxfId="167"/>
    <tableColumn id="2" xr3:uid="{7CD11122-E3F1-44F4-B4D1-B46C6E97FEDC}" name="Serving Size (g)" dataDxfId="166"/>
    <tableColumn id="3" xr3:uid="{AAAB34CD-722C-4ADC-BB91-D05895F0F375}" name="Energy (kJ)" dataDxfId="165"/>
    <tableColumn id="4" xr3:uid="{3DFCA5EC-003C-44DD-A68E-ECBEB6BB0344}" name="Energy (kcal)" dataDxfId="164"/>
    <tableColumn id="5" xr3:uid="{836796BF-29AB-4A38-8E9B-82667D32CD73}" name="Protein (g)" dataDxfId="163"/>
    <tableColumn id="6" xr3:uid="{FB974225-695E-46D2-8477-D6BD98E14B6C}" name="Fat, Total (g)" dataDxfId="162"/>
    <tableColumn id="7" xr3:uid="{AA62AC0B-70CE-421E-924F-28A5EE91FC90}" name="Sat. Fat (g)" dataDxfId="161"/>
    <tableColumn id="8" xr3:uid="{20A44022-CB9F-4AF4-B298-CF1FCFB4772D}" name="Carbohydrates (g)" dataDxfId="160"/>
    <tableColumn id="9" xr3:uid="{DD0DD573-59D8-4610-8F96-5310441FB873}" name="Sugars (g)" dataDxfId="159"/>
    <tableColumn id="10" xr3:uid="{1264233A-AB83-46BC-A472-19DEB842F4DD}" name="Dietary Fiber (g)" dataDxfId="158"/>
    <tableColumn id="11" xr3:uid="{94A59CEF-854A-435C-B715-0E410E6EE16E}" name="Sodium (mg)" dataDxfId="15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953B933-313A-4F1A-BEEE-EEE7D61E7F01}" name="SeasoningsT" displayName="SeasoningsT" ref="A16:K18" totalsRowShown="0" headerRowDxfId="156" dataDxfId="155">
  <autoFilter ref="A16:K18" xr:uid="{6953B933-313A-4F1A-BEEE-EEE7D61E7F01}"/>
  <tableColumns count="11">
    <tableColumn id="1" xr3:uid="{0C8F9F9E-CAB6-4390-8720-4AE4C65832AA}" name="Seasonings (6-inch / Wrap)" dataDxfId="154"/>
    <tableColumn id="2" xr3:uid="{79DD5F36-8ADC-44EB-A793-5A97003D6F62}" name="Serving Size (g)" dataDxfId="153"/>
    <tableColumn id="3" xr3:uid="{AE867B93-E5B3-4F27-99BE-EF08AA4BA893}" name="Energy (kJ)" dataDxfId="152"/>
    <tableColumn id="4" xr3:uid="{7A578D4C-3FC1-4541-BFD7-B49A152A26B0}" name="Energy (kcal)" dataDxfId="151"/>
    <tableColumn id="5" xr3:uid="{6090D95D-6929-46DA-886F-7ED6929850D5}" name="Protein (g)" dataDxfId="150"/>
    <tableColumn id="6" xr3:uid="{5115B58E-1AD0-433B-8241-B4750CEFC7F8}" name="Fat, Total (g)" dataDxfId="149"/>
    <tableColumn id="7" xr3:uid="{029AAF25-0408-4E6B-BB67-A620DEC77334}" name="Sat. Fat (g)" dataDxfId="148"/>
    <tableColumn id="8" xr3:uid="{EE772F30-907C-4467-87BA-3E55E1C63AAD}" name="Carbohydrates (g)" dataDxfId="147"/>
    <tableColumn id="9" xr3:uid="{24262163-BB76-4C1F-A409-4F593C8A20A9}" name="Sugars (g)" dataDxfId="146"/>
    <tableColumn id="10" xr3:uid="{554AFB80-FDBA-4ADF-A06D-7868A037C9DB}" name="Dietary Fiber (g)" dataDxfId="145"/>
    <tableColumn id="11" xr3:uid="{9E382F8B-00F8-4551-BED7-BACC232F9E2C}" name="Sodium (mg)" dataDxfId="144"/>
  </tableColumns>
  <tableStyleInfo name="TableStyleMedium4"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BAFC8B-51AD-43D8-8B8A-F309FF24CF82}" name="UnitT" displayName="UnitT" ref="O3:P7" totalsRowShown="0" headerRowDxfId="143" dataDxfId="142">
  <autoFilter ref="O3:P7" xr:uid="{F2BAFC8B-51AD-43D8-8B8A-F309FF24CF82}"/>
  <tableColumns count="2">
    <tableColumn id="1" xr3:uid="{0FEBAC0C-FDF7-4BF6-B79B-785F54373A70}" name="Size" dataDxfId="76"/>
    <tableColumn id="4" xr3:uid="{28E87802-F9BD-44D9-BC7B-0C0B91E8C1CD}" name="Multiplier" dataDxfId="75"/>
  </tableColumns>
  <tableStyleInfo name="TableStyleMedium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D172162-0FE8-4B35-81F9-F7258B31F06F}" name="SnackT" displayName="SnackT" ref="A1:K7" totalsRowShown="0" headerRowDxfId="141" dataDxfId="140">
  <autoFilter ref="A1:K7" xr:uid="{9D172162-0FE8-4B35-81F9-F7258B31F06F}"/>
  <tableColumns count="11">
    <tableColumn id="1" xr3:uid="{83ECD21A-82E7-4406-9FAF-41417E9063BC}" name="Snacks" dataDxfId="139"/>
    <tableColumn id="2" xr3:uid="{189408C2-8883-4DAB-8465-B8EBE10726BE}" name="Serving Size (g)" dataDxfId="138"/>
    <tableColumn id="3" xr3:uid="{6E363513-B320-4E19-9AFA-14EF861099DD}" name="Energy (kJ)" dataDxfId="137"/>
    <tableColumn id="4" xr3:uid="{CB6490B7-31E8-4880-B1CD-60D4CAE353C5}" name="Energy (kcal)" dataDxfId="136"/>
    <tableColumn id="5" xr3:uid="{D19DBB67-CCBE-45DC-AC6D-0A216EE3D5F5}" name="Protein (g)" dataDxfId="135"/>
    <tableColumn id="6" xr3:uid="{BAEBE9B6-CF6F-4790-B263-294691EF17F5}" name="Fat, Total (g)" dataDxfId="134"/>
    <tableColumn id="7" xr3:uid="{A816919D-44D0-4316-816A-152548B7B0A3}" name="Sat. Fat (g)" dataDxfId="133"/>
    <tableColumn id="8" xr3:uid="{36AE5246-A7BE-4F62-B2D6-2C4F98F4F394}" name="Carbohydrates (g)" dataDxfId="132"/>
    <tableColumn id="9" xr3:uid="{ACFE5F62-02F3-4AFB-976F-E7AAE2A943E1}" name="Sugars (g)" dataDxfId="131"/>
    <tableColumn id="10" xr3:uid="{C2CF9B5A-1984-4408-8CA3-A9CA09D78CBB}" name="Dietary Fiber (g)" dataDxfId="130"/>
    <tableColumn id="11" xr3:uid="{E69001EF-B82D-439E-825B-8D9CFEB5AEA8}" name="Sodium (mg)" dataDxfId="129"/>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2680FAD-A573-48CA-9A9A-3BD88467513C}" name="CookieT" displayName="CookieT" ref="A9:K14" totalsRowShown="0" headerRowDxfId="128" dataDxfId="127">
  <autoFilter ref="A9:K14" xr:uid="{42680FAD-A573-48CA-9A9A-3BD88467513C}"/>
  <tableColumns count="11">
    <tableColumn id="1" xr3:uid="{49958E4C-8691-42FC-B08C-5CA1920014B1}" name="Cookies" dataDxfId="126"/>
    <tableColumn id="2" xr3:uid="{B0CB46B1-9B41-42AB-AA2E-6A3360C26E92}" name="Serving Size (g)" dataDxfId="125"/>
    <tableColumn id="3" xr3:uid="{DF6EF2B1-00C3-4F14-A38C-08E6E06D0CA8}" name="Energy (kJ)" dataDxfId="124"/>
    <tableColumn id="4" xr3:uid="{5708E0DC-0DFF-4258-A4A3-B2B9A67245BB}" name="Energy (kcal)" dataDxfId="123"/>
    <tableColumn id="5" xr3:uid="{73A5263F-9D79-49B9-B2AF-B8ABF3989D49}" name="Protein (g)" dataDxfId="122"/>
    <tableColumn id="6" xr3:uid="{BF720C73-1EED-41CF-BC0C-3B5DC3856B69}" name="Fat, Total (g)" dataDxfId="121"/>
    <tableColumn id="7" xr3:uid="{85B268C8-CF33-49C5-B1D9-A69F97E96F89}" name="Sat. Fat (g)" dataDxfId="120"/>
    <tableColumn id="8" xr3:uid="{F6802969-305F-40D1-992B-3EC2A394A53F}" name="Carbohydrates (g)" dataDxfId="119"/>
    <tableColumn id="9" xr3:uid="{A4F632F4-3BAD-4BCB-9CA3-7EE0D15B40D6}" name="Sugars (g)" dataDxfId="118"/>
    <tableColumn id="10" xr3:uid="{B0678081-18FF-4FCF-AB67-C5E505461E4B}" name="Dietary Fiber (g)" dataDxfId="117"/>
    <tableColumn id="11" xr3:uid="{39E1B1FF-1E69-45B6-B84C-F27A79204180}" name="Sodium (mg)" dataDxfId="11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40168EEB-AF8E-4CFA-BE23-5C4537CD9C42}" name="DanishT" displayName="DanishT" ref="A16:K19" totalsRowShown="0" headerRowDxfId="115" dataDxfId="114">
  <autoFilter ref="A16:K19" xr:uid="{40168EEB-AF8E-4CFA-BE23-5C4537CD9C42}"/>
  <tableColumns count="11">
    <tableColumn id="1" xr3:uid="{3C4CA775-3ABD-4154-85ED-D2727DEA48EE}" name="Baked Goods" dataDxfId="113"/>
    <tableColumn id="2" xr3:uid="{78288DB1-A241-416E-9974-0F04867FCBFF}" name="Serving Size (g)" dataDxfId="112"/>
    <tableColumn id="3" xr3:uid="{8F815F62-FDE1-4BC5-9DE1-B33CA294D2F9}" name="Energy (kJ)" dataDxfId="111"/>
    <tableColumn id="4" xr3:uid="{94E58797-D1B6-4980-8B66-56389E727672}" name="Energy (kcal)" dataDxfId="110"/>
    <tableColumn id="5" xr3:uid="{89999E14-99A6-41BD-BE8A-ECEEDE7897D6}" name="Protein (g)" dataDxfId="109"/>
    <tableColumn id="6" xr3:uid="{ECFED6DD-97E3-4648-A611-3F297A3FF438}" name="Fat, Total (g)" dataDxfId="108"/>
    <tableColumn id="7" xr3:uid="{1B9D989A-A36D-4BDA-95FC-02F3CC36EF4F}" name="Sat. Fat (g)" dataDxfId="107"/>
    <tableColumn id="8" xr3:uid="{19596103-58C4-40CB-A052-D4436197221E}" name="Carbohydrates (g)" dataDxfId="106"/>
    <tableColumn id="9" xr3:uid="{9485D190-3DC8-492B-9C78-A637C71F334C}" name="Sugars (g)" dataDxfId="105"/>
    <tableColumn id="10" xr3:uid="{E610A34D-8C64-48C9-9E76-1E957B24AB7E}" name="Dietary Fiber (g)" dataDxfId="104"/>
    <tableColumn id="11" xr3:uid="{E0CDEFE8-7B47-4466-BBFC-05987A60157A}" name="Sodium (mg)" dataDxfId="103"/>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D0AD85-3508-476E-B8F7-19C7541BE7BB}" name="SmoothieT" displayName="SmoothieT" ref="A21:K24" totalsRowShown="0" headerRowDxfId="102" dataDxfId="101">
  <autoFilter ref="A21:K24" xr:uid="{F1D0AD85-3508-476E-B8F7-19C7541BE7BB}"/>
  <tableColumns count="11">
    <tableColumn id="1" xr3:uid="{C8DA3A03-60BD-4FA2-9A46-556FA3B2EAC6}" name="Smoothies" dataDxfId="100"/>
    <tableColumn id="2" xr3:uid="{E6C49B01-EF0E-4CEE-8818-1AB8471B06B6}" name="Serving Size (g)" dataDxfId="99"/>
    <tableColumn id="3" xr3:uid="{2D7FDD6D-81F4-48CC-A744-6BCA057F9DA2}" name="Energy (kJ)" dataDxfId="98"/>
    <tableColumn id="4" xr3:uid="{156CF075-011A-40A6-9481-9EC78830A2C5}" name="Energy (kcal)" dataDxfId="97"/>
    <tableColumn id="5" xr3:uid="{26D7B483-DFBA-4073-93A3-204F75631BBA}" name="Protein (g)" dataDxfId="96"/>
    <tableColumn id="6" xr3:uid="{F789E4A6-68D5-49D0-8363-392C5D4072B0}" name="Fat, Total (g)" dataDxfId="95"/>
    <tableColumn id="7" xr3:uid="{6B72BEC5-91C2-4191-A76D-3B678475EC32}" name="Sat. Fat (g)" dataDxfId="94"/>
    <tableColumn id="8" xr3:uid="{52CC2C3A-B405-4294-BEB2-2265588C2FA0}" name="Carbohydrates (g)" dataDxfId="93"/>
    <tableColumn id="9" xr3:uid="{862E4370-4692-452C-8ED3-9FC2472CCB3E}" name="Sugars (g)" dataDxfId="92"/>
    <tableColumn id="10" xr3:uid="{D9FDBBDD-17E7-4CE5-B178-5A36F176691D}" name="Dietary Fiber (g)" dataDxfId="91"/>
    <tableColumn id="11" xr3:uid="{D6029092-1555-4873-B8BE-6C5A6DBA1D51}" name="Sodium (mg)" dataDxfId="90"/>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9B0A8F3-8593-4630-81FE-A1E6582ED83A}" name="PureeT" displayName="PureeT" ref="A26:K29" totalsRowShown="0" headerRowDxfId="89" dataDxfId="88">
  <autoFilter ref="A26:K29" xr:uid="{A9B0A8F3-8593-4630-81FE-A1E6582ED83A}"/>
  <tableColumns count="11">
    <tableColumn id="1" xr3:uid="{1E6CBEA8-E860-491A-BE70-927B7382274E}" name="Purees" dataDxfId="87"/>
    <tableColumn id="2" xr3:uid="{7E70FE70-D62C-4887-A8FF-D6F6309720AC}" name="Serving Size (g)" dataDxfId="86"/>
    <tableColumn id="3" xr3:uid="{763B15EF-33C8-4947-8F65-34152A604C4E}" name="Energy (kJ)" dataDxfId="85"/>
    <tableColumn id="4" xr3:uid="{46A3A7A5-9A63-42C9-BD48-24BC4DFB12A6}" name="Energy (kcal)" dataDxfId="84"/>
    <tableColumn id="5" xr3:uid="{E9349E6C-B1F8-45C9-8551-8943D53599CE}" name="Protein (g)" dataDxfId="83"/>
    <tableColumn id="6" xr3:uid="{A965B19D-F879-4DFF-A668-5E272572B6FD}" name="Fat, Total (g)" dataDxfId="82"/>
    <tableColumn id="7" xr3:uid="{F5F49B33-C68F-4F28-9E90-561C9A7FCAD0}" name="Sat. Fat (g)" dataDxfId="81"/>
    <tableColumn id="8" xr3:uid="{66649986-02E8-4114-99A3-BFF9975D4117}" name="Carbohydrates (g)" dataDxfId="80"/>
    <tableColumn id="9" xr3:uid="{A2668C61-2D57-41E5-A648-2F3DDA8D3104}" name="Sugars (g)" dataDxfId="79"/>
    <tableColumn id="10" xr3:uid="{A3FB2940-B70C-406D-8D29-B4457BA42DD0}" name="Dietary Fiber (g)" dataDxfId="78"/>
    <tableColumn id="11" xr3:uid="{89DC6323-553D-480C-989F-81B9932A248C}" name="Sodium (mg)" dataDxfId="7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26" dT="2023-03-13T08:37:22.53" personId="{793A85D7-E65B-4391-B054-EB8E7B002CD2}" id="{C2FBB47C-5A8E-4718-810C-99B0F520EFB6}">
    <text>Evaluates to -0.2, I rounded to 0.0</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www.subway.com/en-NZ" TargetMode="External"/></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10" Type="http://schemas.microsoft.com/office/2017/10/relationships/threadedComment" Target="../threadedComments/threadedComment1.xml"/><Relationship Id="rId4" Type="http://schemas.openxmlformats.org/officeDocument/2006/relationships/table" Target="../tables/table2.xml"/><Relationship Id="rId9"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5.xml"/><Relationship Id="rId13" Type="http://schemas.openxmlformats.org/officeDocument/2006/relationships/ctrlProp" Target="../ctrlProps/ctrlProp60.xml"/><Relationship Id="rId18" Type="http://schemas.openxmlformats.org/officeDocument/2006/relationships/ctrlProp" Target="../ctrlProps/ctrlProp65.xml"/><Relationship Id="rId3" Type="http://schemas.openxmlformats.org/officeDocument/2006/relationships/vmlDrawing" Target="../drawings/vmlDrawing3.vml"/><Relationship Id="rId21" Type="http://schemas.openxmlformats.org/officeDocument/2006/relationships/ctrlProp" Target="../ctrlProps/ctrlProp68.xml"/><Relationship Id="rId7" Type="http://schemas.openxmlformats.org/officeDocument/2006/relationships/ctrlProp" Target="../ctrlProps/ctrlProp54.xml"/><Relationship Id="rId12" Type="http://schemas.openxmlformats.org/officeDocument/2006/relationships/ctrlProp" Target="../ctrlProps/ctrlProp59.xml"/><Relationship Id="rId17" Type="http://schemas.openxmlformats.org/officeDocument/2006/relationships/ctrlProp" Target="../ctrlProps/ctrlProp64.xml"/><Relationship Id="rId25" Type="http://schemas.openxmlformats.org/officeDocument/2006/relationships/ctrlProp" Target="../ctrlProps/ctrlProp72.xml"/><Relationship Id="rId2" Type="http://schemas.openxmlformats.org/officeDocument/2006/relationships/drawing" Target="../drawings/drawing3.xml"/><Relationship Id="rId16" Type="http://schemas.openxmlformats.org/officeDocument/2006/relationships/ctrlProp" Target="../ctrlProps/ctrlProp63.xml"/><Relationship Id="rId20" Type="http://schemas.openxmlformats.org/officeDocument/2006/relationships/ctrlProp" Target="../ctrlProps/ctrlProp67.xml"/><Relationship Id="rId1" Type="http://schemas.openxmlformats.org/officeDocument/2006/relationships/printerSettings" Target="../printerSettings/printerSettings3.bin"/><Relationship Id="rId6" Type="http://schemas.openxmlformats.org/officeDocument/2006/relationships/ctrlProp" Target="../ctrlProps/ctrlProp53.xml"/><Relationship Id="rId11" Type="http://schemas.openxmlformats.org/officeDocument/2006/relationships/ctrlProp" Target="../ctrlProps/ctrlProp58.xml"/><Relationship Id="rId24" Type="http://schemas.openxmlformats.org/officeDocument/2006/relationships/ctrlProp" Target="../ctrlProps/ctrlProp71.xml"/><Relationship Id="rId5" Type="http://schemas.openxmlformats.org/officeDocument/2006/relationships/ctrlProp" Target="../ctrlProps/ctrlProp52.xml"/><Relationship Id="rId15" Type="http://schemas.openxmlformats.org/officeDocument/2006/relationships/ctrlProp" Target="../ctrlProps/ctrlProp62.xml"/><Relationship Id="rId23" Type="http://schemas.openxmlformats.org/officeDocument/2006/relationships/ctrlProp" Target="../ctrlProps/ctrlProp70.xml"/><Relationship Id="rId10" Type="http://schemas.openxmlformats.org/officeDocument/2006/relationships/ctrlProp" Target="../ctrlProps/ctrlProp57.xml"/><Relationship Id="rId19" Type="http://schemas.openxmlformats.org/officeDocument/2006/relationships/ctrlProp" Target="../ctrlProps/ctrlProp66.xml"/><Relationship Id="rId4" Type="http://schemas.openxmlformats.org/officeDocument/2006/relationships/ctrlProp" Target="../ctrlProps/ctrlProp51.xml"/><Relationship Id="rId9" Type="http://schemas.openxmlformats.org/officeDocument/2006/relationships/ctrlProp" Target="../ctrlProps/ctrlProp56.xml"/><Relationship Id="rId14" Type="http://schemas.openxmlformats.org/officeDocument/2006/relationships/ctrlProp" Target="../ctrlProps/ctrlProp61.xml"/><Relationship Id="rId22" Type="http://schemas.openxmlformats.org/officeDocument/2006/relationships/ctrlProp" Target="../ctrlProps/ctrlProp6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7.xml"/><Relationship Id="rId13" Type="http://schemas.openxmlformats.org/officeDocument/2006/relationships/table" Target="../tables/table22.xml"/><Relationship Id="rId3" Type="http://schemas.openxmlformats.org/officeDocument/2006/relationships/table" Target="../tables/table12.xm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table" Target="../tables/table11.xml"/><Relationship Id="rId1" Type="http://schemas.openxmlformats.org/officeDocument/2006/relationships/printerSettings" Target="../printerSettings/printerSettings4.bin"/><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printerSettings" Target="../printerSettings/printerSettings5.bin"/><Relationship Id="rId4" Type="http://schemas.openxmlformats.org/officeDocument/2006/relationships/table" Target="../tables/table25.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6.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table" Target="../tables/table29.xml"/><Relationship Id="rId5" Type="http://schemas.openxmlformats.org/officeDocument/2006/relationships/table" Target="../tables/table33.xml"/><Relationship Id="rId4" Type="http://schemas.openxmlformats.org/officeDocument/2006/relationships/table" Target="../tables/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48"/>
  <sheetViews>
    <sheetView topLeftCell="A3" zoomScale="142" zoomScaleNormal="142" workbookViewId="0">
      <selection activeCell="B20" sqref="B20:K20"/>
    </sheetView>
  </sheetViews>
  <sheetFormatPr defaultRowHeight="13" x14ac:dyDescent="0.3"/>
  <cols>
    <col min="1" max="1" width="61.09765625" customWidth="1"/>
    <col min="2" max="11" width="6.19921875" customWidth="1"/>
  </cols>
  <sheetData>
    <row r="1" spans="1:11" ht="94.75" customHeight="1" x14ac:dyDescent="0.3">
      <c r="A1" s="300"/>
      <c r="B1" s="301"/>
      <c r="C1" s="301"/>
      <c r="D1" s="301"/>
      <c r="E1" s="301"/>
      <c r="F1" s="301"/>
      <c r="G1" s="301"/>
      <c r="H1" s="301"/>
      <c r="I1" s="301"/>
      <c r="J1" s="301"/>
      <c r="K1" s="302"/>
    </row>
    <row r="2" spans="1:11" ht="141.75" customHeight="1" x14ac:dyDescent="0.25">
      <c r="A2" s="1" t="s">
        <v>0</v>
      </c>
      <c r="B2" s="2" t="s">
        <v>1</v>
      </c>
      <c r="C2" s="3" t="s">
        <v>2</v>
      </c>
      <c r="D2" s="2" t="s">
        <v>3</v>
      </c>
      <c r="E2" s="3" t="s">
        <v>4</v>
      </c>
      <c r="F2" s="2" t="s">
        <v>5</v>
      </c>
      <c r="G2" s="3" t="s">
        <v>6</v>
      </c>
      <c r="H2" s="2" t="s">
        <v>7</v>
      </c>
      <c r="I2" s="3" t="s">
        <v>8</v>
      </c>
      <c r="J2" s="2" t="s">
        <v>9</v>
      </c>
      <c r="K2" s="3" t="s">
        <v>10</v>
      </c>
    </row>
    <row r="3" spans="1:11" ht="29.25" customHeight="1" x14ac:dyDescent="0.3">
      <c r="A3" s="303" t="s">
        <v>11</v>
      </c>
      <c r="B3" s="304"/>
      <c r="C3" s="304"/>
      <c r="D3" s="304"/>
      <c r="E3" s="304"/>
      <c r="F3" s="304"/>
      <c r="G3" s="304"/>
      <c r="H3" s="304"/>
      <c r="I3" s="304"/>
      <c r="J3" s="304"/>
      <c r="K3" s="305"/>
    </row>
    <row r="4" spans="1:11" ht="10.25" customHeight="1" x14ac:dyDescent="0.3">
      <c r="A4" s="4" t="s">
        <v>12</v>
      </c>
      <c r="B4" s="5">
        <v>243</v>
      </c>
      <c r="C4" s="6">
        <v>1240</v>
      </c>
      <c r="D4" s="5">
        <v>296</v>
      </c>
      <c r="E4" s="7">
        <v>23.1</v>
      </c>
      <c r="F4" s="8">
        <v>4.0999999999999996</v>
      </c>
      <c r="G4" s="7">
        <v>1</v>
      </c>
      <c r="H4" s="8">
        <v>41.4</v>
      </c>
      <c r="I4" s="7">
        <v>7.5</v>
      </c>
      <c r="J4" s="8">
        <v>4</v>
      </c>
      <c r="K4" s="6">
        <v>1100</v>
      </c>
    </row>
    <row r="5" spans="1:11" ht="10.25" customHeight="1" x14ac:dyDescent="0.3">
      <c r="A5" s="4" t="s">
        <v>13</v>
      </c>
      <c r="B5" s="5">
        <v>266</v>
      </c>
      <c r="C5" s="6">
        <v>1920</v>
      </c>
      <c r="D5" s="5">
        <v>458</v>
      </c>
      <c r="E5" s="7">
        <v>30.1</v>
      </c>
      <c r="F5" s="8">
        <v>19.8</v>
      </c>
      <c r="G5" s="7">
        <v>6</v>
      </c>
      <c r="H5" s="8">
        <v>40</v>
      </c>
      <c r="I5" s="7">
        <v>6.2</v>
      </c>
      <c r="J5" s="8">
        <v>4</v>
      </c>
      <c r="K5" s="6">
        <v>985</v>
      </c>
    </row>
    <row r="6" spans="1:11" ht="10.25" customHeight="1" x14ac:dyDescent="0.3">
      <c r="A6" s="4" t="s">
        <v>14</v>
      </c>
      <c r="B6" s="5">
        <v>218</v>
      </c>
      <c r="C6" s="6">
        <v>1420</v>
      </c>
      <c r="D6" s="5">
        <v>339</v>
      </c>
      <c r="E6" s="7">
        <v>17.899999999999999</v>
      </c>
      <c r="F6" s="8">
        <v>10.3</v>
      </c>
      <c r="G6" s="7">
        <v>2</v>
      </c>
      <c r="H6" s="8">
        <v>41.2</v>
      </c>
      <c r="I6" s="7">
        <v>5.2</v>
      </c>
      <c r="J6" s="8">
        <v>3</v>
      </c>
      <c r="K6" s="6">
        <v>639</v>
      </c>
    </row>
    <row r="7" spans="1:11" ht="10.25" customHeight="1" x14ac:dyDescent="0.3">
      <c r="A7" s="4" t="s">
        <v>15</v>
      </c>
      <c r="B7" s="5">
        <v>222</v>
      </c>
      <c r="C7" s="6">
        <v>1170</v>
      </c>
      <c r="D7" s="5">
        <v>281</v>
      </c>
      <c r="E7" s="7">
        <v>22.8</v>
      </c>
      <c r="F7" s="8">
        <v>4</v>
      </c>
      <c r="G7" s="7">
        <v>0.9</v>
      </c>
      <c r="H7" s="8">
        <v>38.5</v>
      </c>
      <c r="I7" s="7">
        <v>5.3</v>
      </c>
      <c r="J7" s="8">
        <v>3.9</v>
      </c>
      <c r="K7" s="6">
        <v>517</v>
      </c>
    </row>
    <row r="8" spans="1:11" ht="10.25" customHeight="1" x14ac:dyDescent="0.3">
      <c r="A8" s="4" t="s">
        <v>16</v>
      </c>
      <c r="B8" s="5">
        <v>243</v>
      </c>
      <c r="C8" s="6">
        <v>1310</v>
      </c>
      <c r="D8" s="5">
        <v>313</v>
      </c>
      <c r="E8" s="7">
        <v>22.9</v>
      </c>
      <c r="F8" s="8">
        <v>4.0999999999999996</v>
      </c>
      <c r="G8" s="7">
        <v>0.9</v>
      </c>
      <c r="H8" s="8">
        <v>45.9</v>
      </c>
      <c r="I8" s="7">
        <v>9.6</v>
      </c>
      <c r="J8" s="8">
        <v>3.9</v>
      </c>
      <c r="K8" s="6">
        <v>712</v>
      </c>
    </row>
    <row r="9" spans="1:11" ht="10.25" customHeight="1" x14ac:dyDescent="0.3">
      <c r="A9" s="4" t="s">
        <v>17</v>
      </c>
      <c r="B9" s="5">
        <v>214</v>
      </c>
      <c r="C9" s="6">
        <v>1570</v>
      </c>
      <c r="D9" s="5">
        <v>374</v>
      </c>
      <c r="E9" s="7">
        <v>20.100000000000001</v>
      </c>
      <c r="F9" s="8">
        <v>14.6</v>
      </c>
      <c r="G9" s="7">
        <v>5.2</v>
      </c>
      <c r="H9" s="8">
        <v>39.4</v>
      </c>
      <c r="I9" s="7">
        <v>5.4</v>
      </c>
      <c r="J9" s="8">
        <v>3</v>
      </c>
      <c r="K9" s="6">
        <v>1010</v>
      </c>
    </row>
    <row r="10" spans="1:11" ht="10.25" customHeight="1" x14ac:dyDescent="0.3">
      <c r="A10" s="4" t="s">
        <v>18</v>
      </c>
      <c r="B10" s="5">
        <v>198</v>
      </c>
      <c r="C10" s="6">
        <v>1060</v>
      </c>
      <c r="D10" s="5">
        <v>252</v>
      </c>
      <c r="E10" s="7">
        <v>15.4</v>
      </c>
      <c r="F10" s="8">
        <v>3.5</v>
      </c>
      <c r="G10" s="7">
        <v>0.8</v>
      </c>
      <c r="H10" s="8">
        <v>38.5</v>
      </c>
      <c r="I10" s="7">
        <v>5.3</v>
      </c>
      <c r="J10" s="8">
        <v>3</v>
      </c>
      <c r="K10" s="6">
        <v>689</v>
      </c>
    </row>
    <row r="11" spans="1:11" ht="10.25" customHeight="1" x14ac:dyDescent="0.3">
      <c r="A11" s="4" t="s">
        <v>19</v>
      </c>
      <c r="B11" s="5">
        <v>297</v>
      </c>
      <c r="C11" s="6">
        <v>1710</v>
      </c>
      <c r="D11" s="5">
        <v>409</v>
      </c>
      <c r="E11" s="7">
        <v>22.5</v>
      </c>
      <c r="F11" s="8">
        <v>12.3</v>
      </c>
      <c r="G11" s="7">
        <v>5.3</v>
      </c>
      <c r="H11" s="8">
        <v>47.7</v>
      </c>
      <c r="I11" s="7">
        <v>9.8000000000000007</v>
      </c>
      <c r="J11" s="8">
        <v>4.5</v>
      </c>
      <c r="K11" s="6">
        <v>794</v>
      </c>
    </row>
    <row r="12" spans="1:11" ht="10.25" customHeight="1" x14ac:dyDescent="0.3">
      <c r="A12" s="4" t="s">
        <v>20</v>
      </c>
      <c r="B12" s="5">
        <v>229</v>
      </c>
      <c r="C12" s="6">
        <v>1710</v>
      </c>
      <c r="D12" s="5">
        <v>409</v>
      </c>
      <c r="E12" s="7">
        <v>20.7</v>
      </c>
      <c r="F12" s="8">
        <v>17.399999999999999</v>
      </c>
      <c r="G12" s="7">
        <v>7.1</v>
      </c>
      <c r="H12" s="8">
        <v>40.799999999999997</v>
      </c>
      <c r="I12" s="7">
        <v>6.6</v>
      </c>
      <c r="J12" s="8">
        <v>3.5</v>
      </c>
      <c r="K12" s="6">
        <v>928</v>
      </c>
    </row>
    <row r="13" spans="1:11" ht="10.25" customHeight="1" x14ac:dyDescent="0.3">
      <c r="A13" s="4" t="s">
        <v>21</v>
      </c>
      <c r="B13" s="5">
        <v>256</v>
      </c>
      <c r="C13" s="6">
        <v>1910</v>
      </c>
      <c r="D13" s="5">
        <v>455</v>
      </c>
      <c r="E13" s="7">
        <v>19.899999999999999</v>
      </c>
      <c r="F13" s="8">
        <v>20</v>
      </c>
      <c r="G13" s="7">
        <v>6.6</v>
      </c>
      <c r="H13" s="8">
        <v>47.7</v>
      </c>
      <c r="I13" s="7">
        <v>10.6</v>
      </c>
      <c r="J13" s="8">
        <v>4.0999999999999996</v>
      </c>
      <c r="K13" s="6">
        <v>1021</v>
      </c>
    </row>
    <row r="14" spans="1:11" ht="10.25" customHeight="1" x14ac:dyDescent="0.3">
      <c r="A14" s="4" t="s">
        <v>22</v>
      </c>
      <c r="B14" s="5">
        <v>206</v>
      </c>
      <c r="C14" s="6">
        <v>1120</v>
      </c>
      <c r="D14" s="5">
        <v>267</v>
      </c>
      <c r="E14" s="7">
        <v>16.600000000000001</v>
      </c>
      <c r="F14" s="8">
        <v>3.8</v>
      </c>
      <c r="G14" s="7">
        <v>1</v>
      </c>
      <c r="H14" s="8">
        <v>39.200000000000003</v>
      </c>
      <c r="I14" s="7">
        <v>5.7</v>
      </c>
      <c r="J14" s="8">
        <v>3</v>
      </c>
      <c r="K14" s="6">
        <v>510</v>
      </c>
    </row>
    <row r="15" spans="1:11" ht="10.25" customHeight="1" x14ac:dyDescent="0.3">
      <c r="A15" s="4" t="s">
        <v>23</v>
      </c>
      <c r="B15" s="5">
        <v>233</v>
      </c>
      <c r="C15" s="6">
        <v>1570</v>
      </c>
      <c r="D15" s="5">
        <v>375</v>
      </c>
      <c r="E15" s="7">
        <v>15</v>
      </c>
      <c r="F15" s="8">
        <v>8.1999999999999993</v>
      </c>
      <c r="G15" s="7">
        <v>1.3</v>
      </c>
      <c r="H15" s="8">
        <v>55.5</v>
      </c>
      <c r="I15" s="7">
        <v>8.6</v>
      </c>
      <c r="J15" s="8">
        <v>6.2</v>
      </c>
      <c r="K15" s="6">
        <v>911</v>
      </c>
    </row>
    <row r="16" spans="1:11" ht="10.25" customHeight="1" x14ac:dyDescent="0.3">
      <c r="A16" s="4" t="s">
        <v>24</v>
      </c>
      <c r="B16" s="5">
        <v>236</v>
      </c>
      <c r="C16" s="6">
        <v>1490</v>
      </c>
      <c r="D16" s="5">
        <v>357</v>
      </c>
      <c r="E16" s="7">
        <v>26.6</v>
      </c>
      <c r="F16" s="8">
        <v>9.6</v>
      </c>
      <c r="G16" s="7">
        <v>4.4000000000000004</v>
      </c>
      <c r="H16" s="8">
        <v>38.6</v>
      </c>
      <c r="I16" s="7">
        <v>5.3</v>
      </c>
      <c r="J16" s="8">
        <v>3</v>
      </c>
      <c r="K16" s="6">
        <v>676</v>
      </c>
    </row>
    <row r="17" spans="1:11" ht="10.25" customHeight="1" x14ac:dyDescent="0.3">
      <c r="A17" s="4" t="s">
        <v>25</v>
      </c>
      <c r="B17" s="5">
        <v>263</v>
      </c>
      <c r="C17" s="6">
        <v>1790</v>
      </c>
      <c r="D17" s="5">
        <v>427</v>
      </c>
      <c r="E17" s="7">
        <v>29.2</v>
      </c>
      <c r="F17" s="8">
        <v>14.1</v>
      </c>
      <c r="G17" s="7">
        <v>2.4</v>
      </c>
      <c r="H17" s="8">
        <v>47.4</v>
      </c>
      <c r="I17" s="7">
        <v>5.5</v>
      </c>
      <c r="J17" s="8">
        <v>3</v>
      </c>
      <c r="K17" s="6">
        <v>858</v>
      </c>
    </row>
    <row r="18" spans="1:11" ht="10.25" customHeight="1" x14ac:dyDescent="0.3">
      <c r="A18" s="4" t="s">
        <v>26</v>
      </c>
      <c r="B18" s="5">
        <v>222</v>
      </c>
      <c r="C18" s="6">
        <v>1200</v>
      </c>
      <c r="D18" s="5">
        <v>288</v>
      </c>
      <c r="E18" s="7">
        <v>18.600000000000001</v>
      </c>
      <c r="F18" s="8">
        <v>4.5</v>
      </c>
      <c r="G18" s="7">
        <v>0.8</v>
      </c>
      <c r="H18" s="8">
        <v>41.6</v>
      </c>
      <c r="I18" s="7">
        <v>7.2</v>
      </c>
      <c r="J18" s="8">
        <v>3</v>
      </c>
      <c r="K18" s="6">
        <v>520</v>
      </c>
    </row>
    <row r="19" spans="1:11" ht="10.25" customHeight="1" x14ac:dyDescent="0.3">
      <c r="A19" s="4" t="s">
        <v>27</v>
      </c>
      <c r="B19" s="5">
        <v>212</v>
      </c>
      <c r="C19" s="6">
        <v>1130</v>
      </c>
      <c r="D19" s="5">
        <v>270</v>
      </c>
      <c r="E19" s="7">
        <v>19.8</v>
      </c>
      <c r="F19" s="8">
        <v>2.8</v>
      </c>
      <c r="G19" s="7">
        <v>0.8</v>
      </c>
      <c r="H19" s="8">
        <v>39.4</v>
      </c>
      <c r="I19" s="7">
        <v>5.2</v>
      </c>
      <c r="J19" s="8">
        <v>3</v>
      </c>
      <c r="K19" s="6">
        <v>607</v>
      </c>
    </row>
    <row r="20" spans="1:11" ht="10.25" customHeight="1" x14ac:dyDescent="0.3">
      <c r="A20" s="4" t="s">
        <v>28</v>
      </c>
      <c r="B20" s="5">
        <v>193</v>
      </c>
      <c r="C20" s="6">
        <v>1130</v>
      </c>
      <c r="D20" s="5">
        <v>271</v>
      </c>
      <c r="E20" s="7">
        <v>9.5</v>
      </c>
      <c r="F20" s="8">
        <v>7.6</v>
      </c>
      <c r="G20" s="7">
        <v>1</v>
      </c>
      <c r="H20" s="8">
        <v>41.4</v>
      </c>
      <c r="I20" s="7">
        <v>4.7</v>
      </c>
      <c r="J20" s="8">
        <v>3</v>
      </c>
      <c r="K20" s="6">
        <v>249</v>
      </c>
    </row>
    <row r="21" spans="1:11" ht="10.25" customHeight="1" x14ac:dyDescent="0.3">
      <c r="A21" s="4" t="s">
        <v>29</v>
      </c>
      <c r="B21" s="5">
        <v>248</v>
      </c>
      <c r="C21" s="6">
        <v>1690</v>
      </c>
      <c r="D21" s="5">
        <v>404</v>
      </c>
      <c r="E21" s="7">
        <v>16</v>
      </c>
      <c r="F21" s="8">
        <v>11.7</v>
      </c>
      <c r="G21" s="7">
        <v>2.2000000000000002</v>
      </c>
      <c r="H21" s="8">
        <v>54.4</v>
      </c>
      <c r="I21" s="7">
        <v>7.3</v>
      </c>
      <c r="J21" s="8">
        <v>9.1999999999999993</v>
      </c>
      <c r="K21" s="6">
        <v>573</v>
      </c>
    </row>
    <row r="22" spans="1:11" ht="29.25" customHeight="1" x14ac:dyDescent="0.3">
      <c r="A22" s="303" t="s">
        <v>30</v>
      </c>
      <c r="B22" s="304"/>
      <c r="C22" s="304"/>
      <c r="D22" s="304"/>
      <c r="E22" s="304"/>
      <c r="F22" s="304"/>
      <c r="G22" s="304"/>
      <c r="H22" s="304"/>
      <c r="I22" s="304"/>
      <c r="J22" s="304"/>
      <c r="K22" s="305"/>
    </row>
    <row r="23" spans="1:11" ht="10.25" customHeight="1" x14ac:dyDescent="0.3">
      <c r="A23" s="4" t="s">
        <v>18</v>
      </c>
      <c r="B23" s="5">
        <v>125</v>
      </c>
      <c r="C23" s="6">
        <v>675</v>
      </c>
      <c r="D23" s="5">
        <v>161</v>
      </c>
      <c r="E23" s="7">
        <v>9.1</v>
      </c>
      <c r="F23" s="8">
        <v>2.1</v>
      </c>
      <c r="G23" s="7">
        <v>0.4</v>
      </c>
      <c r="H23" s="8">
        <v>25.5</v>
      </c>
      <c r="I23" s="7">
        <v>3.5</v>
      </c>
      <c r="J23" s="8">
        <v>2</v>
      </c>
      <c r="K23" s="6">
        <v>386</v>
      </c>
    </row>
    <row r="24" spans="1:11" ht="10.25" customHeight="1" x14ac:dyDescent="0.3">
      <c r="A24" s="4" t="s">
        <v>22</v>
      </c>
      <c r="B24" s="5">
        <v>138</v>
      </c>
      <c r="C24" s="6">
        <v>750</v>
      </c>
      <c r="D24" s="5">
        <v>179</v>
      </c>
      <c r="E24" s="7">
        <v>11.3</v>
      </c>
      <c r="F24" s="8">
        <v>2.6</v>
      </c>
      <c r="G24" s="7">
        <v>0.7</v>
      </c>
      <c r="H24" s="8">
        <v>26.1</v>
      </c>
      <c r="I24" s="7">
        <v>3.8</v>
      </c>
      <c r="J24" s="8">
        <v>2</v>
      </c>
      <c r="K24" s="6">
        <v>345</v>
      </c>
    </row>
    <row r="25" spans="1:11" ht="10.25" customHeight="1" x14ac:dyDescent="0.3">
      <c r="A25" s="4" t="s">
        <v>31</v>
      </c>
      <c r="B25" s="5">
        <v>132</v>
      </c>
      <c r="C25" s="6">
        <v>709</v>
      </c>
      <c r="D25" s="5">
        <v>170</v>
      </c>
      <c r="E25" s="7">
        <v>11.3</v>
      </c>
      <c r="F25" s="8">
        <v>1.8</v>
      </c>
      <c r="G25" s="7">
        <v>0.5</v>
      </c>
      <c r="H25" s="8">
        <v>25.8</v>
      </c>
      <c r="I25" s="7">
        <v>21.3</v>
      </c>
      <c r="J25" s="8">
        <v>2</v>
      </c>
      <c r="K25" s="6">
        <v>345</v>
      </c>
    </row>
    <row r="26" spans="1:11" ht="10.25" customHeight="1" x14ac:dyDescent="0.3">
      <c r="A26" s="4" t="s">
        <v>28</v>
      </c>
      <c r="B26" s="5">
        <v>130</v>
      </c>
      <c r="C26" s="6">
        <v>766</v>
      </c>
      <c r="D26" s="5">
        <v>183</v>
      </c>
      <c r="E26" s="7">
        <v>6.4</v>
      </c>
      <c r="F26" s="8">
        <v>5.3</v>
      </c>
      <c r="G26" s="7">
        <v>0.7</v>
      </c>
      <c r="H26" s="8">
        <v>27.7</v>
      </c>
      <c r="I26" s="7">
        <v>3.2</v>
      </c>
      <c r="J26" s="8">
        <v>2</v>
      </c>
      <c r="K26" s="6">
        <v>166</v>
      </c>
    </row>
    <row r="27" spans="1:11" ht="11" customHeight="1" x14ac:dyDescent="0.3">
      <c r="A27" s="306" t="s">
        <v>329</v>
      </c>
      <c r="B27" s="298"/>
      <c r="C27" s="298"/>
      <c r="D27" s="298"/>
      <c r="E27" s="298"/>
      <c r="F27" s="298"/>
      <c r="G27" s="298"/>
      <c r="H27" s="298"/>
      <c r="I27" s="298"/>
      <c r="J27" s="298"/>
      <c r="K27" s="299"/>
    </row>
    <row r="28" spans="1:11" ht="10.25" customHeight="1" x14ac:dyDescent="0.3">
      <c r="A28" s="4" t="s">
        <v>32</v>
      </c>
      <c r="B28" s="5">
        <v>202</v>
      </c>
      <c r="C28" s="6">
        <v>1540</v>
      </c>
      <c r="D28" s="5">
        <v>369</v>
      </c>
      <c r="E28" s="7">
        <v>21.1</v>
      </c>
      <c r="F28" s="8">
        <v>14</v>
      </c>
      <c r="G28" s="7">
        <v>5.7</v>
      </c>
      <c r="H28" s="8">
        <v>37.9</v>
      </c>
      <c r="I28" s="7">
        <v>4.5999999999999996</v>
      </c>
      <c r="J28" s="8">
        <v>2.7</v>
      </c>
      <c r="K28" s="6">
        <v>718</v>
      </c>
    </row>
    <row r="29" spans="1:11" ht="10.25" customHeight="1" x14ac:dyDescent="0.3">
      <c r="A29" s="4" t="s">
        <v>33</v>
      </c>
      <c r="B29" s="5">
        <v>193</v>
      </c>
      <c r="C29" s="6">
        <v>1360</v>
      </c>
      <c r="D29" s="5">
        <v>324</v>
      </c>
      <c r="E29" s="7">
        <v>17.899999999999999</v>
      </c>
      <c r="F29" s="8">
        <v>10.7</v>
      </c>
      <c r="G29" s="7">
        <v>4.2</v>
      </c>
      <c r="H29" s="8">
        <v>37.799999999999997</v>
      </c>
      <c r="I29" s="7">
        <v>4.5</v>
      </c>
      <c r="J29" s="8">
        <v>2.7</v>
      </c>
      <c r="K29" s="6">
        <v>521</v>
      </c>
    </row>
    <row r="30" spans="1:11" ht="10.25" customHeight="1" x14ac:dyDescent="0.3">
      <c r="A30" s="4" t="s">
        <v>34</v>
      </c>
      <c r="B30" s="5">
        <v>233</v>
      </c>
      <c r="C30" s="6">
        <v>1520</v>
      </c>
      <c r="D30" s="5">
        <v>364</v>
      </c>
      <c r="E30" s="7">
        <v>24.9</v>
      </c>
      <c r="F30" s="8">
        <v>11.8</v>
      </c>
      <c r="G30" s="7">
        <v>4.5999999999999996</v>
      </c>
      <c r="H30" s="8">
        <v>38.4</v>
      </c>
      <c r="I30" s="7">
        <v>5.0999999999999996</v>
      </c>
      <c r="J30" s="8">
        <v>2.7</v>
      </c>
      <c r="K30" s="6">
        <v>960</v>
      </c>
    </row>
    <row r="31" spans="1:11" ht="10.25" customHeight="1" x14ac:dyDescent="0.3">
      <c r="A31" s="4" t="s">
        <v>35</v>
      </c>
      <c r="B31" s="5">
        <v>257</v>
      </c>
      <c r="C31" s="6">
        <v>1790</v>
      </c>
      <c r="D31" s="5">
        <v>428</v>
      </c>
      <c r="E31" s="7">
        <v>32.299999999999997</v>
      </c>
      <c r="F31" s="8">
        <v>15.1</v>
      </c>
      <c r="G31" s="7">
        <v>6.2</v>
      </c>
      <c r="H31" s="8">
        <v>38.4</v>
      </c>
      <c r="I31" s="7">
        <v>5</v>
      </c>
      <c r="J31" s="8">
        <v>2.7</v>
      </c>
      <c r="K31" s="6">
        <v>879</v>
      </c>
    </row>
    <row r="32" spans="1:11" ht="11" customHeight="1" x14ac:dyDescent="0.3">
      <c r="A32" s="297" t="s">
        <v>36</v>
      </c>
      <c r="B32" s="298"/>
      <c r="C32" s="298"/>
      <c r="D32" s="298"/>
      <c r="E32" s="298"/>
      <c r="F32" s="298"/>
      <c r="G32" s="298"/>
      <c r="H32" s="298"/>
      <c r="I32" s="298"/>
      <c r="J32" s="298"/>
      <c r="K32" s="299"/>
    </row>
    <row r="33" spans="1:11" ht="10.25" customHeight="1" x14ac:dyDescent="0.3">
      <c r="A33" s="4" t="s">
        <v>37</v>
      </c>
      <c r="B33" s="5">
        <v>137</v>
      </c>
      <c r="C33" s="6">
        <v>1310</v>
      </c>
      <c r="D33" s="5">
        <v>312</v>
      </c>
      <c r="E33" s="7">
        <v>9.6999999999999993</v>
      </c>
      <c r="F33" s="8">
        <v>12.6</v>
      </c>
      <c r="G33" s="7">
        <v>1.5</v>
      </c>
      <c r="H33" s="8">
        <v>42.2</v>
      </c>
      <c r="I33" s="7">
        <v>2.7</v>
      </c>
      <c r="J33" s="8">
        <v>1.8</v>
      </c>
      <c r="K33" s="6">
        <v>239</v>
      </c>
    </row>
    <row r="34" spans="1:11" ht="10.25" customHeight="1" x14ac:dyDescent="0.3">
      <c r="A34" s="4" t="s">
        <v>38</v>
      </c>
      <c r="B34" s="5">
        <v>123</v>
      </c>
      <c r="C34" s="6">
        <v>1500</v>
      </c>
      <c r="D34" s="5">
        <v>359</v>
      </c>
      <c r="E34" s="7">
        <v>16.399999999999999</v>
      </c>
      <c r="F34" s="8">
        <v>14.4</v>
      </c>
      <c r="G34" s="7">
        <v>5.8</v>
      </c>
      <c r="H34" s="8">
        <v>39.299999999999997</v>
      </c>
      <c r="I34" s="7">
        <v>3.8</v>
      </c>
      <c r="J34" s="8">
        <v>2.1</v>
      </c>
      <c r="K34" s="6">
        <v>737</v>
      </c>
    </row>
    <row r="35" spans="1:11" ht="10.25" customHeight="1" x14ac:dyDescent="0.3">
      <c r="A35" s="4" t="s">
        <v>39</v>
      </c>
      <c r="B35" s="8">
        <v>94</v>
      </c>
      <c r="C35" s="6">
        <v>1110</v>
      </c>
      <c r="D35" s="5">
        <v>266</v>
      </c>
      <c r="E35" s="7">
        <v>9.6</v>
      </c>
      <c r="F35" s="8">
        <v>16.899999999999999</v>
      </c>
      <c r="G35" s="7">
        <v>5</v>
      </c>
      <c r="H35" s="8">
        <v>19.3</v>
      </c>
      <c r="I35" s="7">
        <v>2.2999999999999998</v>
      </c>
      <c r="J35" s="8">
        <v>3.5</v>
      </c>
      <c r="K35" s="6">
        <v>378</v>
      </c>
    </row>
    <row r="36" spans="1:11" ht="10.25" customHeight="1" x14ac:dyDescent="0.3">
      <c r="A36" s="4" t="s">
        <v>40</v>
      </c>
      <c r="B36" s="8">
        <v>93</v>
      </c>
      <c r="C36" s="6">
        <v>1140</v>
      </c>
      <c r="D36" s="5">
        <v>272</v>
      </c>
      <c r="E36" s="7">
        <v>8.4</v>
      </c>
      <c r="F36" s="8">
        <v>8.5</v>
      </c>
      <c r="G36" s="7">
        <v>1.5</v>
      </c>
      <c r="H36" s="8">
        <v>39.299999999999997</v>
      </c>
      <c r="I36" s="7">
        <v>3.8</v>
      </c>
      <c r="J36" s="8">
        <v>2.1</v>
      </c>
      <c r="K36" s="6">
        <v>590</v>
      </c>
    </row>
    <row r="37" spans="1:11" ht="10.25" customHeight="1" x14ac:dyDescent="0.3">
      <c r="A37" s="4" t="s">
        <v>41</v>
      </c>
      <c r="B37" s="5">
        <v>127</v>
      </c>
      <c r="C37" s="6">
        <v>1040</v>
      </c>
      <c r="D37" s="5">
        <v>248</v>
      </c>
      <c r="E37" s="7">
        <v>13.8</v>
      </c>
      <c r="F37" s="8">
        <v>6.4</v>
      </c>
      <c r="G37" s="7">
        <v>2.7</v>
      </c>
      <c r="H37" s="8">
        <v>32.5</v>
      </c>
      <c r="I37" s="7">
        <v>4.7</v>
      </c>
      <c r="J37" s="8">
        <v>1.8</v>
      </c>
      <c r="K37" s="6">
        <v>568</v>
      </c>
    </row>
    <row r="38" spans="1:11" ht="10.25" customHeight="1" x14ac:dyDescent="0.3">
      <c r="A38" s="4" t="s">
        <v>42</v>
      </c>
      <c r="B38" s="5">
        <v>194</v>
      </c>
      <c r="C38" s="6">
        <v>1060</v>
      </c>
      <c r="D38" s="5">
        <v>254</v>
      </c>
      <c r="E38" s="6">
        <v>110</v>
      </c>
      <c r="F38" s="8">
        <v>12.2</v>
      </c>
      <c r="G38" s="7">
        <v>5.4</v>
      </c>
      <c r="H38" s="8">
        <v>14.6</v>
      </c>
      <c r="I38" s="7">
        <v>7.6</v>
      </c>
      <c r="J38" s="8">
        <v>2.2000000000000002</v>
      </c>
      <c r="K38" s="6">
        <v>746</v>
      </c>
    </row>
    <row r="39" spans="1:11" ht="11" customHeight="1" x14ac:dyDescent="0.3">
      <c r="A39" s="297" t="s">
        <v>43</v>
      </c>
      <c r="B39" s="298"/>
      <c r="C39" s="298"/>
      <c r="D39" s="298"/>
      <c r="E39" s="298"/>
      <c r="F39" s="298"/>
      <c r="G39" s="298"/>
      <c r="H39" s="298"/>
      <c r="I39" s="298"/>
      <c r="J39" s="298"/>
      <c r="K39" s="299"/>
    </row>
    <row r="40" spans="1:11" ht="10.25" customHeight="1" x14ac:dyDescent="0.3">
      <c r="A40" s="4" t="s">
        <v>44</v>
      </c>
      <c r="B40" s="8">
        <v>45</v>
      </c>
      <c r="C40" s="6">
        <v>909</v>
      </c>
      <c r="D40" s="5">
        <v>217</v>
      </c>
      <c r="E40" s="7">
        <v>2.4</v>
      </c>
      <c r="F40" s="8">
        <v>10.4</v>
      </c>
      <c r="G40" s="7">
        <v>6.5</v>
      </c>
      <c r="H40" s="8">
        <v>28.5</v>
      </c>
      <c r="I40" s="7">
        <v>17.5</v>
      </c>
      <c r="J40" s="8">
        <v>0.9</v>
      </c>
      <c r="K40" s="6">
        <v>161</v>
      </c>
    </row>
    <row r="41" spans="1:11" ht="10.25" customHeight="1" x14ac:dyDescent="0.3">
      <c r="A41" s="9" t="s">
        <v>45</v>
      </c>
      <c r="B41" s="8">
        <v>45</v>
      </c>
      <c r="C41" s="6">
        <v>891</v>
      </c>
      <c r="D41" s="5">
        <v>213</v>
      </c>
      <c r="E41" s="7">
        <v>2.5</v>
      </c>
      <c r="F41" s="8">
        <v>9.8000000000000007</v>
      </c>
      <c r="G41" s="7">
        <v>5.4</v>
      </c>
      <c r="H41" s="8">
        <v>28.5</v>
      </c>
      <c r="I41" s="7">
        <v>16.7</v>
      </c>
      <c r="J41" s="8">
        <v>0.9</v>
      </c>
      <c r="K41" s="6">
        <v>172</v>
      </c>
    </row>
    <row r="42" spans="1:11" ht="10.25" customHeight="1" x14ac:dyDescent="0.3">
      <c r="A42" s="4" t="s">
        <v>46</v>
      </c>
      <c r="B42" s="8">
        <v>45</v>
      </c>
      <c r="C42" s="6">
        <v>891</v>
      </c>
      <c r="D42" s="5">
        <v>213</v>
      </c>
      <c r="E42" s="7">
        <v>2.5</v>
      </c>
      <c r="F42" s="8">
        <v>9.9</v>
      </c>
      <c r="G42" s="7">
        <v>6.8</v>
      </c>
      <c r="H42" s="8">
        <v>28.4</v>
      </c>
      <c r="I42" s="7">
        <v>18.5</v>
      </c>
      <c r="J42" s="8">
        <v>1.2</v>
      </c>
      <c r="K42" s="6">
        <v>160</v>
      </c>
    </row>
    <row r="43" spans="1:11" ht="10.25" customHeight="1" x14ac:dyDescent="0.3">
      <c r="A43" s="4" t="s">
        <v>47</v>
      </c>
      <c r="B43" s="8">
        <v>45</v>
      </c>
      <c r="C43" s="6">
        <v>796</v>
      </c>
      <c r="D43" s="5">
        <v>190</v>
      </c>
      <c r="E43" s="7">
        <v>2.5</v>
      </c>
      <c r="F43" s="8">
        <v>6.9</v>
      </c>
      <c r="G43" s="7">
        <v>3.4</v>
      </c>
      <c r="H43" s="8">
        <v>29.3</v>
      </c>
      <c r="I43" s="7">
        <v>17.5</v>
      </c>
      <c r="J43" s="8">
        <v>1.4</v>
      </c>
      <c r="K43" s="6">
        <v>176</v>
      </c>
    </row>
    <row r="44" spans="1:11" ht="10.25" customHeight="1" x14ac:dyDescent="0.3">
      <c r="A44" s="4" t="s">
        <v>48</v>
      </c>
      <c r="B44" s="8">
        <v>45</v>
      </c>
      <c r="C44" s="6">
        <v>914</v>
      </c>
      <c r="D44" s="5">
        <v>218</v>
      </c>
      <c r="E44" s="7">
        <v>2.6</v>
      </c>
      <c r="F44" s="8">
        <v>11</v>
      </c>
      <c r="G44" s="7">
        <v>6.3</v>
      </c>
      <c r="H44" s="8">
        <v>27.2</v>
      </c>
      <c r="I44" s="7">
        <v>17.3</v>
      </c>
      <c r="J44" s="8">
        <v>0.8</v>
      </c>
      <c r="K44" s="6">
        <v>196</v>
      </c>
    </row>
    <row r="45" spans="1:11" ht="11" customHeight="1" x14ac:dyDescent="0.3">
      <c r="A45" s="297" t="s">
        <v>49</v>
      </c>
      <c r="B45" s="298"/>
      <c r="C45" s="298"/>
      <c r="D45" s="298"/>
      <c r="E45" s="298"/>
      <c r="F45" s="298"/>
      <c r="G45" s="298"/>
      <c r="H45" s="298"/>
      <c r="I45" s="298"/>
      <c r="J45" s="298"/>
      <c r="K45" s="299"/>
    </row>
    <row r="46" spans="1:11" ht="10.25" customHeight="1" x14ac:dyDescent="0.3">
      <c r="A46" s="4" t="s">
        <v>50</v>
      </c>
      <c r="B46" s="5">
        <v>115</v>
      </c>
      <c r="C46" s="6">
        <v>1420</v>
      </c>
      <c r="D46" s="5">
        <v>338</v>
      </c>
      <c r="E46" s="7">
        <v>6.1</v>
      </c>
      <c r="F46" s="8">
        <v>15.5</v>
      </c>
      <c r="G46" s="7">
        <v>9.1</v>
      </c>
      <c r="H46" s="8">
        <v>42.5</v>
      </c>
      <c r="I46" s="7">
        <v>13.9</v>
      </c>
      <c r="J46" s="8">
        <v>0</v>
      </c>
      <c r="K46" s="6">
        <v>357</v>
      </c>
    </row>
    <row r="47" spans="1:11" ht="10.25" customHeight="1" x14ac:dyDescent="0.3">
      <c r="A47" s="4" t="s">
        <v>51</v>
      </c>
      <c r="B47" s="5">
        <v>115</v>
      </c>
      <c r="C47" s="6">
        <v>1380</v>
      </c>
      <c r="D47" s="5">
        <v>329</v>
      </c>
      <c r="E47" s="7">
        <v>5.6</v>
      </c>
      <c r="F47" s="8">
        <v>14.8</v>
      </c>
      <c r="G47" s="7">
        <v>8.6</v>
      </c>
      <c r="H47" s="8">
        <v>42.2</v>
      </c>
      <c r="I47" s="7">
        <v>14.3</v>
      </c>
      <c r="J47" s="8">
        <v>0</v>
      </c>
      <c r="K47" s="6">
        <v>344</v>
      </c>
    </row>
    <row r="48" spans="1:11" ht="10.25" customHeight="1" x14ac:dyDescent="0.3">
      <c r="A48" s="4" t="s">
        <v>52</v>
      </c>
      <c r="B48" s="5">
        <v>115</v>
      </c>
      <c r="C48" s="6">
        <v>1420</v>
      </c>
      <c r="D48" s="5">
        <v>338</v>
      </c>
      <c r="E48" s="7">
        <v>5.9</v>
      </c>
      <c r="F48" s="8">
        <v>36.200000000000003</v>
      </c>
      <c r="G48" s="7">
        <v>9.1</v>
      </c>
      <c r="H48" s="8">
        <v>43.1</v>
      </c>
      <c r="I48" s="7">
        <v>13.2</v>
      </c>
      <c r="J48" s="8">
        <v>0</v>
      </c>
      <c r="K48" s="6">
        <v>337</v>
      </c>
    </row>
  </sheetData>
  <sheetProtection algorithmName="SHA-512" hashValue="YQcrNgT+Y9AHrp8apesgJkJS/3lFm9Id2LIkc7EC0h0e/2lckhA9d8utg4aaYTTezYiLk1GywtiNGi2dXfrgTg==" saltValue="Bo3B1ccW6dbIBbasxLVm2w==" spinCount="100000" sheet="1" objects="1" scenarios="1"/>
  <mergeCells count="7">
    <mergeCell ref="A39:K39"/>
    <mergeCell ref="A45:K45"/>
    <mergeCell ref="A1:K1"/>
    <mergeCell ref="A3:K3"/>
    <mergeCell ref="A22:K22"/>
    <mergeCell ref="A27:K27"/>
    <mergeCell ref="A32:K3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L79"/>
  <sheetViews>
    <sheetView topLeftCell="A47" zoomScale="145" zoomScaleNormal="145" workbookViewId="0">
      <selection activeCell="K8" sqref="K8"/>
    </sheetView>
  </sheetViews>
  <sheetFormatPr defaultRowHeight="13" x14ac:dyDescent="0.3"/>
  <cols>
    <col min="1" max="1" width="61.09765625" customWidth="1"/>
    <col min="2" max="11" width="6.19921875" customWidth="1"/>
    <col min="12" max="12" width="2.8984375" customWidth="1"/>
  </cols>
  <sheetData>
    <row r="1" spans="1:11" ht="141.75" customHeight="1" x14ac:dyDescent="0.25">
      <c r="A1" s="1"/>
      <c r="B1" s="2"/>
      <c r="C1" s="3"/>
      <c r="D1" s="2"/>
      <c r="E1" s="3"/>
      <c r="F1" s="2"/>
      <c r="G1" s="3"/>
      <c r="H1" s="2"/>
      <c r="I1" s="3"/>
      <c r="J1" s="2"/>
      <c r="K1" s="3"/>
    </row>
    <row r="2" spans="1:11" ht="11" customHeight="1" x14ac:dyDescent="0.3">
      <c r="A2" s="297" t="s">
        <v>53</v>
      </c>
      <c r="B2" s="298"/>
      <c r="C2" s="298"/>
      <c r="D2" s="298"/>
      <c r="E2" s="298"/>
      <c r="F2" s="298"/>
      <c r="G2" s="298"/>
      <c r="H2" s="298"/>
      <c r="I2" s="298"/>
      <c r="J2" s="298"/>
      <c r="K2" s="299"/>
    </row>
    <row r="3" spans="1:11" ht="10.25" customHeight="1" x14ac:dyDescent="0.3">
      <c r="A3" s="4" t="s">
        <v>54</v>
      </c>
      <c r="B3" s="5">
        <v>120</v>
      </c>
      <c r="C3" s="6">
        <v>370</v>
      </c>
      <c r="D3" s="8">
        <v>88.4</v>
      </c>
      <c r="E3" s="7">
        <v>0.4</v>
      </c>
      <c r="F3" s="8">
        <v>0.2</v>
      </c>
      <c r="G3" s="7">
        <v>0</v>
      </c>
      <c r="H3" s="8">
        <v>20.3</v>
      </c>
      <c r="I3" s="7">
        <v>18.399999999999999</v>
      </c>
      <c r="J3" s="8">
        <v>1.1000000000000001</v>
      </c>
      <c r="K3" s="7">
        <v>20</v>
      </c>
    </row>
    <row r="4" spans="1:11" ht="10.25" customHeight="1" x14ac:dyDescent="0.3">
      <c r="A4" s="4" t="s">
        <v>55</v>
      </c>
      <c r="B4" s="5">
        <v>120</v>
      </c>
      <c r="C4" s="6">
        <v>340</v>
      </c>
      <c r="D4" s="8">
        <v>81.3</v>
      </c>
      <c r="E4" s="7">
        <v>0.1</v>
      </c>
      <c r="F4" s="8">
        <v>0.4</v>
      </c>
      <c r="G4" s="7">
        <v>0.1</v>
      </c>
      <c r="H4" s="8">
        <v>18.399999999999999</v>
      </c>
      <c r="I4" s="7">
        <v>16.3</v>
      </c>
      <c r="J4" s="8">
        <v>1.6</v>
      </c>
      <c r="K4" s="7">
        <v>5</v>
      </c>
    </row>
    <row r="5" spans="1:11" ht="10.25" customHeight="1" x14ac:dyDescent="0.3">
      <c r="A5" s="4" t="s">
        <v>56</v>
      </c>
      <c r="B5" s="5">
        <v>120</v>
      </c>
      <c r="C5" s="6">
        <v>340</v>
      </c>
      <c r="D5" s="8">
        <v>81.3</v>
      </c>
      <c r="E5" s="7">
        <v>0.1</v>
      </c>
      <c r="F5" s="8">
        <v>0.4</v>
      </c>
      <c r="G5" s="7">
        <v>0.1</v>
      </c>
      <c r="H5" s="8">
        <v>18.2</v>
      </c>
      <c r="I5" s="7">
        <v>16.100000000000001</v>
      </c>
      <c r="J5" s="8">
        <v>1.4</v>
      </c>
      <c r="K5" s="7">
        <v>5</v>
      </c>
    </row>
    <row r="6" spans="1:11" ht="11" customHeight="1" x14ac:dyDescent="0.3">
      <c r="A6" s="297" t="s">
        <v>57</v>
      </c>
      <c r="B6" s="298"/>
      <c r="C6" s="298"/>
      <c r="D6" s="298"/>
      <c r="E6" s="298"/>
      <c r="F6" s="298"/>
      <c r="G6" s="298"/>
      <c r="H6" s="298"/>
      <c r="I6" s="298"/>
      <c r="J6" s="298"/>
      <c r="K6" s="299"/>
    </row>
    <row r="7" spans="1:11" ht="10.25" customHeight="1" x14ac:dyDescent="0.3">
      <c r="A7" s="4" t="s">
        <v>58</v>
      </c>
      <c r="B7" s="8">
        <v>69</v>
      </c>
      <c r="C7" s="6">
        <v>814</v>
      </c>
      <c r="D7" s="5">
        <v>195</v>
      </c>
      <c r="E7" s="7">
        <v>7.5</v>
      </c>
      <c r="F7" s="8">
        <v>2.1</v>
      </c>
      <c r="G7" s="7">
        <v>0.3</v>
      </c>
      <c r="H7" s="8">
        <v>35</v>
      </c>
      <c r="I7" s="7">
        <v>2.6</v>
      </c>
      <c r="J7" s="8">
        <v>2.7</v>
      </c>
      <c r="K7" s="6">
        <v>271</v>
      </c>
    </row>
    <row r="8" spans="1:11" ht="10.25" customHeight="1" x14ac:dyDescent="0.3">
      <c r="A8" s="4" t="s">
        <v>59</v>
      </c>
      <c r="B8" s="8">
        <v>67</v>
      </c>
      <c r="C8" s="6">
        <v>817</v>
      </c>
      <c r="D8" s="5">
        <v>195</v>
      </c>
      <c r="E8" s="7">
        <v>7.4</v>
      </c>
      <c r="F8" s="8">
        <v>2.1</v>
      </c>
      <c r="G8" s="7">
        <v>0.3</v>
      </c>
      <c r="H8" s="8">
        <v>35.200000000000003</v>
      </c>
      <c r="I8" s="7">
        <v>2.7</v>
      </c>
      <c r="J8" s="8">
        <v>1.8</v>
      </c>
      <c r="K8" s="6">
        <v>239</v>
      </c>
    </row>
    <row r="9" spans="1:11" ht="10.25" customHeight="1" x14ac:dyDescent="0.3">
      <c r="A9" s="4" t="s">
        <v>60</v>
      </c>
      <c r="B9" s="8">
        <v>79</v>
      </c>
      <c r="C9" s="6">
        <v>1020</v>
      </c>
      <c r="D9" s="5">
        <v>244</v>
      </c>
      <c r="E9" s="7">
        <v>10.6</v>
      </c>
      <c r="F9" s="8">
        <v>4.5</v>
      </c>
      <c r="G9" s="7">
        <v>0.7</v>
      </c>
      <c r="H9" s="8">
        <v>37.799999999999997</v>
      </c>
      <c r="I9" s="7">
        <v>2.6</v>
      </c>
      <c r="J9" s="8">
        <v>4.7</v>
      </c>
      <c r="K9" s="6">
        <v>364</v>
      </c>
    </row>
    <row r="10" spans="1:11" ht="10.25" customHeight="1" x14ac:dyDescent="0.3">
      <c r="A10" s="4" t="s">
        <v>61</v>
      </c>
      <c r="B10" s="8">
        <v>78.400000000000006</v>
      </c>
      <c r="C10" s="6">
        <v>976</v>
      </c>
      <c r="D10" s="5">
        <v>233</v>
      </c>
      <c r="E10" s="7">
        <v>9.4</v>
      </c>
      <c r="F10" s="8">
        <v>4.5</v>
      </c>
      <c r="G10" s="7">
        <v>2</v>
      </c>
      <c r="H10" s="8">
        <v>37.4</v>
      </c>
      <c r="I10" s="7">
        <v>2.8</v>
      </c>
      <c r="J10" s="8">
        <v>2.1</v>
      </c>
      <c r="K10" s="6">
        <v>424</v>
      </c>
    </row>
    <row r="11" spans="1:11" ht="10.25" customHeight="1" x14ac:dyDescent="0.3">
      <c r="A11" s="4" t="s">
        <v>62</v>
      </c>
      <c r="B11" s="8">
        <v>77.599999999999994</v>
      </c>
      <c r="C11" s="6">
        <v>954</v>
      </c>
      <c r="D11" s="5">
        <v>228</v>
      </c>
      <c r="E11" s="7">
        <v>7.9</v>
      </c>
      <c r="F11" s="8">
        <v>2.2999999999999998</v>
      </c>
      <c r="G11" s="7">
        <v>0.4</v>
      </c>
      <c r="H11" s="8">
        <v>42.2</v>
      </c>
      <c r="I11" s="7">
        <v>5.0999999999999996</v>
      </c>
      <c r="J11" s="8">
        <v>2.1</v>
      </c>
      <c r="K11" s="6">
        <v>867</v>
      </c>
    </row>
    <row r="12" spans="1:11" ht="10.25" customHeight="1" x14ac:dyDescent="0.3">
      <c r="A12" s="4" t="s">
        <v>63</v>
      </c>
      <c r="B12" s="8">
        <v>46</v>
      </c>
      <c r="C12" s="6">
        <v>542</v>
      </c>
      <c r="D12" s="5">
        <v>130</v>
      </c>
      <c r="E12" s="7">
        <v>5</v>
      </c>
      <c r="F12" s="8">
        <v>1.4</v>
      </c>
      <c r="G12" s="7">
        <v>0.2</v>
      </c>
      <c r="H12" s="8">
        <v>23.3</v>
      </c>
      <c r="I12" s="7">
        <v>1.7</v>
      </c>
      <c r="J12" s="8">
        <v>1.8</v>
      </c>
      <c r="K12" s="6">
        <v>181</v>
      </c>
    </row>
    <row r="13" spans="1:11" ht="10.25" customHeight="1" x14ac:dyDescent="0.3">
      <c r="A13" s="4" t="s">
        <v>64</v>
      </c>
      <c r="B13" s="8">
        <v>44.7</v>
      </c>
      <c r="C13" s="6">
        <v>545</v>
      </c>
      <c r="D13" s="5">
        <v>130</v>
      </c>
      <c r="E13" s="7">
        <v>5</v>
      </c>
      <c r="F13" s="8">
        <v>1.4</v>
      </c>
      <c r="G13" s="7">
        <v>0.2</v>
      </c>
      <c r="H13" s="8">
        <v>23.5</v>
      </c>
      <c r="I13" s="7">
        <v>1.8</v>
      </c>
      <c r="J13" s="8">
        <v>1.2</v>
      </c>
      <c r="K13" s="6">
        <v>159</v>
      </c>
    </row>
    <row r="14" spans="1:11" ht="10.25" customHeight="1" x14ac:dyDescent="0.3">
      <c r="A14" s="4" t="s">
        <v>65</v>
      </c>
      <c r="B14" s="8">
        <v>70</v>
      </c>
      <c r="C14" s="6">
        <v>833</v>
      </c>
      <c r="D14" s="5">
        <v>199</v>
      </c>
      <c r="E14" s="7">
        <v>6</v>
      </c>
      <c r="F14" s="8">
        <v>4.8</v>
      </c>
      <c r="G14" s="7">
        <v>0.6</v>
      </c>
      <c r="H14" s="8">
        <v>32.1</v>
      </c>
      <c r="I14" s="7">
        <v>1.7</v>
      </c>
      <c r="J14" s="8">
        <v>6</v>
      </c>
      <c r="K14" s="6">
        <v>259</v>
      </c>
    </row>
    <row r="15" spans="1:11" ht="10.25" customHeight="1" x14ac:dyDescent="0.3">
      <c r="A15" s="4" t="s">
        <v>66</v>
      </c>
      <c r="B15" s="8">
        <v>85</v>
      </c>
      <c r="C15" s="6">
        <v>876</v>
      </c>
      <c r="D15" s="5">
        <v>209</v>
      </c>
      <c r="E15" s="7">
        <v>4.2</v>
      </c>
      <c r="F15" s="8">
        <v>4.5999999999999996</v>
      </c>
      <c r="G15" s="7">
        <v>0.6</v>
      </c>
      <c r="H15" s="8">
        <v>35.6</v>
      </c>
      <c r="I15" s="7">
        <v>1.4</v>
      </c>
      <c r="J15" s="8">
        <v>3.8</v>
      </c>
      <c r="K15" s="6">
        <v>310</v>
      </c>
    </row>
    <row r="16" spans="1:11" ht="11" customHeight="1" x14ac:dyDescent="0.3">
      <c r="A16" s="297" t="s">
        <v>67</v>
      </c>
      <c r="B16" s="298"/>
      <c r="C16" s="298"/>
      <c r="D16" s="298"/>
      <c r="E16" s="298"/>
      <c r="F16" s="298"/>
      <c r="G16" s="298"/>
      <c r="H16" s="298"/>
      <c r="I16" s="298"/>
      <c r="J16" s="298"/>
      <c r="K16" s="299"/>
    </row>
    <row r="17" spans="1:11" ht="10.25" customHeight="1" x14ac:dyDescent="0.3">
      <c r="A17" s="4" t="s">
        <v>68</v>
      </c>
      <c r="B17" s="8">
        <v>8.8000000000000007</v>
      </c>
      <c r="C17" s="6">
        <v>187</v>
      </c>
      <c r="D17" s="8">
        <v>44.8</v>
      </c>
      <c r="E17" s="7">
        <v>3.3</v>
      </c>
      <c r="F17" s="8">
        <v>3.3</v>
      </c>
      <c r="G17" s="7">
        <v>1.5</v>
      </c>
      <c r="H17" s="8">
        <v>0.1</v>
      </c>
      <c r="I17" s="7">
        <v>0.1</v>
      </c>
      <c r="J17" s="8">
        <v>0</v>
      </c>
      <c r="K17" s="6">
        <v>198</v>
      </c>
    </row>
    <row r="18" spans="1:11" ht="10.25" customHeight="1" x14ac:dyDescent="0.3">
      <c r="A18" s="4" t="s">
        <v>12</v>
      </c>
      <c r="B18" s="8">
        <v>85</v>
      </c>
      <c r="C18" s="6">
        <v>351</v>
      </c>
      <c r="D18" s="8">
        <v>83.9</v>
      </c>
      <c r="E18" s="7">
        <v>14.7</v>
      </c>
      <c r="F18" s="8">
        <v>1.8</v>
      </c>
      <c r="G18" s="7">
        <v>0.6</v>
      </c>
      <c r="H18" s="8">
        <v>3.5</v>
      </c>
      <c r="I18" s="7">
        <v>2.8</v>
      </c>
      <c r="J18" s="8">
        <v>1</v>
      </c>
      <c r="K18" s="6">
        <v>850</v>
      </c>
    </row>
    <row r="19" spans="1:11" ht="10.25" customHeight="1" x14ac:dyDescent="0.3">
      <c r="A19" s="4" t="s">
        <v>14</v>
      </c>
      <c r="B19" s="8">
        <v>60</v>
      </c>
      <c r="C19" s="6">
        <v>529</v>
      </c>
      <c r="D19" s="5">
        <v>126</v>
      </c>
      <c r="E19" s="7">
        <v>9.5</v>
      </c>
      <c r="F19" s="8">
        <v>8</v>
      </c>
      <c r="G19" s="7">
        <v>1.7</v>
      </c>
      <c r="H19" s="8">
        <v>3.3</v>
      </c>
      <c r="I19" s="7">
        <v>0.4</v>
      </c>
      <c r="J19" s="8">
        <v>0</v>
      </c>
      <c r="K19" s="6">
        <v>390</v>
      </c>
    </row>
    <row r="20" spans="1:11" ht="10.25" customHeight="1" x14ac:dyDescent="0.3">
      <c r="A20" s="4" t="s">
        <v>15</v>
      </c>
      <c r="B20" s="8">
        <v>64</v>
      </c>
      <c r="C20" s="6">
        <v>285</v>
      </c>
      <c r="D20" s="8">
        <v>68.2</v>
      </c>
      <c r="E20" s="7">
        <v>14.4</v>
      </c>
      <c r="F20" s="8">
        <v>1.7</v>
      </c>
      <c r="G20" s="7">
        <v>0.6</v>
      </c>
      <c r="H20" s="8">
        <v>0.6</v>
      </c>
      <c r="I20" s="7">
        <v>0.5</v>
      </c>
      <c r="J20" s="8">
        <v>0.9</v>
      </c>
      <c r="K20" s="6">
        <v>269</v>
      </c>
    </row>
    <row r="21" spans="1:11" ht="10.25" customHeight="1" x14ac:dyDescent="0.3">
      <c r="A21" s="4" t="s">
        <v>16</v>
      </c>
      <c r="B21" s="8">
        <v>85</v>
      </c>
      <c r="C21" s="6">
        <v>421</v>
      </c>
      <c r="D21" s="5">
        <v>101</v>
      </c>
      <c r="E21" s="7">
        <v>14.5</v>
      </c>
      <c r="F21" s="8">
        <v>1.8</v>
      </c>
      <c r="G21" s="7">
        <v>0.6</v>
      </c>
      <c r="H21" s="8">
        <v>8</v>
      </c>
      <c r="I21" s="7">
        <v>4.8</v>
      </c>
      <c r="J21" s="8">
        <v>0.9</v>
      </c>
      <c r="K21" s="6">
        <v>463</v>
      </c>
    </row>
    <row r="22" spans="1:11" ht="10.25" customHeight="1" x14ac:dyDescent="0.3">
      <c r="A22" s="4" t="s">
        <v>69</v>
      </c>
      <c r="B22" s="8">
        <v>59</v>
      </c>
      <c r="C22" s="6">
        <v>326</v>
      </c>
      <c r="D22" s="8">
        <v>77.8</v>
      </c>
      <c r="E22" s="7">
        <v>7.5</v>
      </c>
      <c r="F22" s="8">
        <v>5.3</v>
      </c>
      <c r="G22" s="7">
        <v>1.8</v>
      </c>
      <c r="H22" s="8">
        <v>0.2</v>
      </c>
      <c r="I22" s="7">
        <v>0.2</v>
      </c>
      <c r="J22" s="8">
        <v>0</v>
      </c>
      <c r="K22" s="6">
        <v>139</v>
      </c>
    </row>
    <row r="23" spans="1:11" ht="10.25" customHeight="1" x14ac:dyDescent="0.3">
      <c r="A23" s="4" t="s">
        <v>18</v>
      </c>
      <c r="B23" s="8">
        <v>40</v>
      </c>
      <c r="C23" s="6">
        <v>167</v>
      </c>
      <c r="D23" s="8">
        <v>39.9</v>
      </c>
      <c r="E23" s="7">
        <v>7</v>
      </c>
      <c r="F23" s="8">
        <v>1.2</v>
      </c>
      <c r="G23" s="7">
        <v>0.4</v>
      </c>
      <c r="H23" s="8">
        <v>0.6</v>
      </c>
      <c r="I23" s="7">
        <v>0.6</v>
      </c>
      <c r="J23" s="8">
        <v>0</v>
      </c>
      <c r="K23" s="6">
        <v>440</v>
      </c>
    </row>
    <row r="24" spans="1:11" ht="10.25" customHeight="1" x14ac:dyDescent="0.3">
      <c r="A24" s="4" t="s">
        <v>70</v>
      </c>
      <c r="B24" s="5">
        <v>125</v>
      </c>
      <c r="C24" s="6">
        <v>654</v>
      </c>
      <c r="D24" s="5">
        <v>156</v>
      </c>
      <c r="E24" s="7">
        <v>10.4</v>
      </c>
      <c r="F24" s="8">
        <v>7.2</v>
      </c>
      <c r="G24" s="7">
        <v>3</v>
      </c>
      <c r="H24" s="8">
        <v>9.8000000000000007</v>
      </c>
      <c r="I24" s="7">
        <v>5.0999999999999996</v>
      </c>
      <c r="J24" s="8">
        <v>1.5</v>
      </c>
      <c r="K24" s="6">
        <v>476</v>
      </c>
    </row>
    <row r="25" spans="1:11" ht="10.25" customHeight="1" x14ac:dyDescent="0.3">
      <c r="A25" s="4" t="s">
        <v>71</v>
      </c>
      <c r="B25" s="8">
        <v>18</v>
      </c>
      <c r="C25" s="6">
        <v>297</v>
      </c>
      <c r="D25" s="8">
        <v>71</v>
      </c>
      <c r="E25" s="7">
        <v>4.0999999999999996</v>
      </c>
      <c r="F25" s="8">
        <v>5.9</v>
      </c>
      <c r="G25" s="7">
        <v>2.2999999999999998</v>
      </c>
      <c r="H25" s="8">
        <v>0.6</v>
      </c>
      <c r="I25" s="7">
        <v>0.2</v>
      </c>
      <c r="J25" s="8">
        <v>0</v>
      </c>
      <c r="K25" s="6">
        <v>270</v>
      </c>
    </row>
    <row r="26" spans="1:11" ht="10.25" customHeight="1" x14ac:dyDescent="0.3">
      <c r="A26" s="4" t="s">
        <v>72</v>
      </c>
      <c r="B26" s="8">
        <v>77</v>
      </c>
      <c r="C26" s="6">
        <v>886</v>
      </c>
      <c r="D26" s="5">
        <v>212</v>
      </c>
      <c r="E26" s="7">
        <v>11.4</v>
      </c>
      <c r="F26" s="8">
        <v>17.5</v>
      </c>
      <c r="G26" s="7">
        <v>6.1</v>
      </c>
      <c r="H26" s="8">
        <v>2.2999999999999998</v>
      </c>
      <c r="I26" s="7">
        <v>0.2</v>
      </c>
      <c r="J26" s="8">
        <v>0.9</v>
      </c>
      <c r="K26" s="6">
        <v>601</v>
      </c>
    </row>
    <row r="27" spans="1:11" ht="10.25" customHeight="1" x14ac:dyDescent="0.3">
      <c r="A27" s="4" t="s">
        <v>22</v>
      </c>
      <c r="B27" s="8">
        <v>48</v>
      </c>
      <c r="C27" s="6">
        <v>229</v>
      </c>
      <c r="D27" s="8">
        <v>54.8</v>
      </c>
      <c r="E27" s="7">
        <v>8.3000000000000007</v>
      </c>
      <c r="F27" s="8">
        <v>1.5</v>
      </c>
      <c r="G27" s="7">
        <v>0.7</v>
      </c>
      <c r="H27" s="8">
        <v>1.2</v>
      </c>
      <c r="I27" s="7">
        <v>1</v>
      </c>
      <c r="J27" s="8">
        <v>0</v>
      </c>
      <c r="K27" s="6">
        <v>261</v>
      </c>
    </row>
    <row r="28" spans="1:11" ht="10.25" customHeight="1" x14ac:dyDescent="0.3">
      <c r="A28" s="4" t="s">
        <v>73</v>
      </c>
      <c r="B28" s="8">
        <v>18</v>
      </c>
      <c r="C28" s="6">
        <v>297</v>
      </c>
      <c r="D28" s="8">
        <v>71</v>
      </c>
      <c r="E28" s="7">
        <v>4.0999999999999996</v>
      </c>
      <c r="F28" s="8">
        <v>5.9</v>
      </c>
      <c r="G28" s="7">
        <v>2.2999999999999998</v>
      </c>
      <c r="H28" s="8">
        <v>0.6</v>
      </c>
      <c r="I28" s="7">
        <v>0.2</v>
      </c>
      <c r="J28" s="8">
        <v>0</v>
      </c>
      <c r="K28" s="6">
        <v>270</v>
      </c>
    </row>
    <row r="29" spans="1:11" ht="10.25" customHeight="1" x14ac:dyDescent="0.3">
      <c r="A29" s="4" t="s">
        <v>23</v>
      </c>
      <c r="B29" s="8">
        <v>75</v>
      </c>
      <c r="C29" s="6">
        <v>682</v>
      </c>
      <c r="D29" s="5">
        <v>163</v>
      </c>
      <c r="E29" s="7">
        <v>6.6</v>
      </c>
      <c r="F29" s="8">
        <v>5.9</v>
      </c>
      <c r="G29" s="7">
        <v>1</v>
      </c>
      <c r="H29" s="8">
        <v>17.600000000000001</v>
      </c>
      <c r="I29" s="7">
        <v>3.8</v>
      </c>
      <c r="J29" s="8">
        <v>3.2</v>
      </c>
      <c r="K29" s="6">
        <v>662</v>
      </c>
    </row>
    <row r="30" spans="1:11" ht="10.25" customHeight="1" x14ac:dyDescent="0.3">
      <c r="A30" s="4" t="s">
        <v>74</v>
      </c>
      <c r="B30" s="8">
        <v>64</v>
      </c>
      <c r="C30" s="6">
        <v>435</v>
      </c>
      <c r="D30" s="5">
        <v>104</v>
      </c>
      <c r="E30" s="7">
        <v>14.5</v>
      </c>
      <c r="F30" s="8">
        <v>4.5</v>
      </c>
      <c r="G30" s="7">
        <v>2</v>
      </c>
      <c r="H30" s="8">
        <v>0.6</v>
      </c>
      <c r="I30" s="7">
        <v>0.5</v>
      </c>
      <c r="J30" s="8">
        <v>0</v>
      </c>
      <c r="K30" s="6">
        <v>358</v>
      </c>
    </row>
    <row r="31" spans="1:11" ht="10.25" customHeight="1" x14ac:dyDescent="0.3">
      <c r="A31" s="4" t="s">
        <v>25</v>
      </c>
      <c r="B31" s="5">
        <v>105</v>
      </c>
      <c r="C31" s="6">
        <v>899</v>
      </c>
      <c r="D31" s="5">
        <v>215</v>
      </c>
      <c r="E31" s="7">
        <v>20.8</v>
      </c>
      <c r="F31" s="8">
        <v>11.8</v>
      </c>
      <c r="G31" s="7">
        <v>2</v>
      </c>
      <c r="H31" s="8">
        <v>9.5</v>
      </c>
      <c r="I31" s="7">
        <v>0.7</v>
      </c>
      <c r="J31" s="8">
        <v>0</v>
      </c>
      <c r="K31" s="6">
        <v>609</v>
      </c>
    </row>
    <row r="32" spans="1:11" ht="10.25" customHeight="1" x14ac:dyDescent="0.3">
      <c r="A32" s="4" t="s">
        <v>26</v>
      </c>
      <c r="B32" s="8">
        <v>64</v>
      </c>
      <c r="C32" s="6">
        <v>315</v>
      </c>
      <c r="D32" s="8">
        <v>75.3</v>
      </c>
      <c r="E32" s="7">
        <v>10.199999999999999</v>
      </c>
      <c r="F32" s="8">
        <v>2.2000000000000002</v>
      </c>
      <c r="G32" s="7">
        <v>0.4</v>
      </c>
      <c r="H32" s="8">
        <v>3.6</v>
      </c>
      <c r="I32" s="7">
        <v>2.4</v>
      </c>
      <c r="J32" s="8">
        <v>0</v>
      </c>
      <c r="K32" s="6">
        <v>271</v>
      </c>
    </row>
    <row r="33" spans="1:11" ht="10.25" customHeight="1" x14ac:dyDescent="0.3">
      <c r="A33" s="4" t="s">
        <v>27</v>
      </c>
      <c r="B33" s="8">
        <v>54</v>
      </c>
      <c r="C33" s="6">
        <v>240</v>
      </c>
      <c r="D33" s="8">
        <v>57.4</v>
      </c>
      <c r="E33" s="7">
        <v>11.4</v>
      </c>
      <c r="F33" s="8">
        <v>0.5</v>
      </c>
      <c r="G33" s="7">
        <v>0.5</v>
      </c>
      <c r="H33" s="8">
        <v>1.5</v>
      </c>
      <c r="I33" s="7">
        <v>0.5</v>
      </c>
      <c r="J33" s="8">
        <v>0</v>
      </c>
      <c r="K33" s="6">
        <v>359</v>
      </c>
    </row>
    <row r="34" spans="1:11" ht="10.25" customHeight="1" x14ac:dyDescent="0.3">
      <c r="A34" s="4" t="s">
        <v>29</v>
      </c>
      <c r="B34" s="8">
        <v>90</v>
      </c>
      <c r="C34" s="6">
        <v>803</v>
      </c>
      <c r="D34" s="8">
        <v>191.9</v>
      </c>
      <c r="E34" s="7">
        <v>7.6</v>
      </c>
      <c r="F34" s="8">
        <v>9.4</v>
      </c>
      <c r="G34" s="7">
        <v>1.8</v>
      </c>
      <c r="H34" s="8">
        <v>16.5</v>
      </c>
      <c r="I34" s="7">
        <v>2.5</v>
      </c>
      <c r="J34" s="8">
        <v>6.2</v>
      </c>
      <c r="K34" s="6">
        <v>324</v>
      </c>
    </row>
    <row r="35" spans="1:11" ht="11" customHeight="1" x14ac:dyDescent="0.3">
      <c r="A35" s="297" t="s">
        <v>75</v>
      </c>
      <c r="B35" s="298"/>
      <c r="C35" s="298"/>
      <c r="D35" s="298"/>
      <c r="E35" s="298"/>
      <c r="F35" s="298"/>
      <c r="G35" s="298"/>
      <c r="H35" s="298"/>
      <c r="I35" s="298"/>
      <c r="J35" s="298"/>
      <c r="K35" s="299"/>
    </row>
    <row r="36" spans="1:11" ht="10.25" customHeight="1" x14ac:dyDescent="0.3">
      <c r="A36" s="4" t="s">
        <v>76</v>
      </c>
      <c r="B36" s="8">
        <v>15</v>
      </c>
      <c r="C36" s="6">
        <v>268</v>
      </c>
      <c r="D36" s="8">
        <v>64.2</v>
      </c>
      <c r="E36" s="7">
        <v>0.3</v>
      </c>
      <c r="F36" s="8">
        <v>6.5</v>
      </c>
      <c r="G36" s="7">
        <v>0.6</v>
      </c>
      <c r="H36" s="8">
        <v>1.3</v>
      </c>
      <c r="I36" s="7">
        <v>0.8</v>
      </c>
      <c r="J36" s="8">
        <v>0.1</v>
      </c>
      <c r="K36" s="6">
        <v>180</v>
      </c>
    </row>
    <row r="37" spans="1:11" ht="10.25" customHeight="1" x14ac:dyDescent="0.3">
      <c r="A37" s="4" t="s">
        <v>77</v>
      </c>
      <c r="B37" s="8">
        <v>21</v>
      </c>
      <c r="C37" s="6">
        <v>389</v>
      </c>
      <c r="D37" s="8">
        <v>92.9</v>
      </c>
      <c r="E37" s="7">
        <v>0.6</v>
      </c>
      <c r="F37" s="8">
        <v>10.1</v>
      </c>
      <c r="G37" s="7">
        <v>1.6</v>
      </c>
      <c r="H37" s="8">
        <v>1.2</v>
      </c>
      <c r="I37" s="7">
        <v>0.9</v>
      </c>
      <c r="J37" s="8">
        <v>0</v>
      </c>
      <c r="K37" s="6">
        <v>134</v>
      </c>
    </row>
    <row r="38" spans="1:11" ht="10.25" customHeight="1" x14ac:dyDescent="0.3">
      <c r="A38" s="4" t="s">
        <v>78</v>
      </c>
      <c r="B38" s="8">
        <v>21</v>
      </c>
      <c r="C38" s="6">
        <v>246</v>
      </c>
      <c r="D38" s="8">
        <v>58.7</v>
      </c>
      <c r="E38" s="7">
        <v>0.3</v>
      </c>
      <c r="F38" s="8">
        <v>5.8</v>
      </c>
      <c r="G38" s="7">
        <v>0.9</v>
      </c>
      <c r="H38" s="8">
        <v>1.6</v>
      </c>
      <c r="I38" s="7">
        <v>1</v>
      </c>
      <c r="J38" s="8">
        <v>0</v>
      </c>
      <c r="K38" s="6">
        <v>187</v>
      </c>
    </row>
    <row r="39" spans="1:11" ht="10.25" customHeight="1" x14ac:dyDescent="0.3">
      <c r="A39" s="4" t="s">
        <v>79</v>
      </c>
      <c r="B39" s="8">
        <v>15</v>
      </c>
      <c r="C39" s="7">
        <v>82.5</v>
      </c>
      <c r="D39" s="8">
        <v>19.7</v>
      </c>
      <c r="E39" s="7">
        <v>0.1</v>
      </c>
      <c r="F39" s="8">
        <v>0</v>
      </c>
      <c r="G39" s="7">
        <v>0</v>
      </c>
      <c r="H39" s="8">
        <v>4.5999999999999996</v>
      </c>
      <c r="I39" s="7">
        <v>3.7</v>
      </c>
      <c r="J39" s="8">
        <v>0.1</v>
      </c>
      <c r="K39" s="6">
        <v>320</v>
      </c>
    </row>
    <row r="40" spans="1:11" ht="10.25" customHeight="1" x14ac:dyDescent="0.3">
      <c r="A40" s="4" t="s">
        <v>80</v>
      </c>
      <c r="B40" s="8">
        <v>21</v>
      </c>
      <c r="C40" s="6">
        <v>124</v>
      </c>
      <c r="D40" s="8">
        <v>29.6</v>
      </c>
      <c r="E40" s="7">
        <v>0.3</v>
      </c>
      <c r="F40" s="8">
        <v>0.3</v>
      </c>
      <c r="G40" s="7">
        <v>0</v>
      </c>
      <c r="H40" s="8">
        <v>6.5</v>
      </c>
      <c r="I40" s="7">
        <v>4.4000000000000004</v>
      </c>
      <c r="J40" s="8">
        <v>0</v>
      </c>
      <c r="K40" s="7">
        <v>94.5</v>
      </c>
    </row>
    <row r="41" spans="1:11" ht="10.25" customHeight="1" x14ac:dyDescent="0.3">
      <c r="A41" s="4" t="s">
        <v>81</v>
      </c>
      <c r="B41" s="8">
        <v>21</v>
      </c>
      <c r="C41" s="7">
        <v>59.9</v>
      </c>
      <c r="D41" s="8">
        <v>14.3</v>
      </c>
      <c r="E41" s="7">
        <v>0.3</v>
      </c>
      <c r="F41" s="8">
        <v>0.5</v>
      </c>
      <c r="G41" s="7">
        <v>0.1</v>
      </c>
      <c r="H41" s="8">
        <v>1.8</v>
      </c>
      <c r="I41" s="7">
        <v>1.4</v>
      </c>
      <c r="J41" s="8">
        <v>0.5</v>
      </c>
      <c r="K41" s="7">
        <v>70.400000000000006</v>
      </c>
    </row>
    <row r="42" spans="1:11" ht="10.25" customHeight="1" x14ac:dyDescent="0.3">
      <c r="A42" s="4" t="s">
        <v>82</v>
      </c>
      <c r="B42" s="8">
        <v>15</v>
      </c>
      <c r="C42" s="7">
        <v>86.1</v>
      </c>
      <c r="D42" s="8">
        <v>20.6</v>
      </c>
      <c r="E42" s="7">
        <v>0.1</v>
      </c>
      <c r="F42" s="8">
        <v>1.2</v>
      </c>
      <c r="G42" s="7">
        <v>0.2</v>
      </c>
      <c r="H42" s="8">
        <v>2.2999999999999998</v>
      </c>
      <c r="I42" s="7">
        <v>1.5</v>
      </c>
      <c r="J42" s="8">
        <v>0</v>
      </c>
      <c r="K42" s="7">
        <v>79.5</v>
      </c>
    </row>
    <row r="43" spans="1:11" ht="10.25" customHeight="1" x14ac:dyDescent="0.3">
      <c r="A43" s="4" t="s">
        <v>83</v>
      </c>
      <c r="B43" s="8">
        <v>21</v>
      </c>
      <c r="C43" s="6">
        <v>386</v>
      </c>
      <c r="D43" s="8">
        <v>92.4</v>
      </c>
      <c r="E43" s="7">
        <v>0.3</v>
      </c>
      <c r="F43" s="8">
        <v>9.6999999999999993</v>
      </c>
      <c r="G43" s="7">
        <v>1.6</v>
      </c>
      <c r="H43" s="8">
        <v>1.3</v>
      </c>
      <c r="I43" s="7">
        <v>0.8</v>
      </c>
      <c r="J43" s="8">
        <v>0.1</v>
      </c>
      <c r="K43" s="6">
        <v>202</v>
      </c>
    </row>
    <row r="44" spans="1:11" ht="10.25" customHeight="1" x14ac:dyDescent="0.3">
      <c r="A44" s="4" t="s">
        <v>84</v>
      </c>
      <c r="B44" s="8">
        <v>21</v>
      </c>
      <c r="C44" s="6">
        <v>131</v>
      </c>
      <c r="D44" s="8">
        <v>31.3</v>
      </c>
      <c r="E44" s="7">
        <v>0.2</v>
      </c>
      <c r="F44" s="8">
        <v>0.2</v>
      </c>
      <c r="G44" s="7">
        <v>0.2</v>
      </c>
      <c r="H44" s="8">
        <v>7.5</v>
      </c>
      <c r="I44" s="7">
        <v>5.7</v>
      </c>
      <c r="J44" s="8">
        <v>0.2</v>
      </c>
      <c r="K44" s="6">
        <v>172</v>
      </c>
    </row>
    <row r="45" spans="1:11" ht="10.25" customHeight="1" x14ac:dyDescent="0.3">
      <c r="A45" s="4" t="s">
        <v>85</v>
      </c>
      <c r="B45" s="8">
        <v>15</v>
      </c>
      <c r="C45" s="6">
        <v>157</v>
      </c>
      <c r="D45" s="8">
        <v>37.6</v>
      </c>
      <c r="E45" s="7">
        <v>0.2</v>
      </c>
      <c r="F45" s="8">
        <v>7.4</v>
      </c>
      <c r="G45" s="7">
        <v>0.6</v>
      </c>
      <c r="H45" s="8">
        <v>1.7</v>
      </c>
      <c r="I45" s="7">
        <v>1.4</v>
      </c>
      <c r="J45" s="8">
        <v>0.1</v>
      </c>
      <c r="K45" s="6">
        <v>153</v>
      </c>
    </row>
    <row r="46" spans="1:11" ht="10.25" customHeight="1" x14ac:dyDescent="0.3">
      <c r="A46" s="4" t="s">
        <v>86</v>
      </c>
      <c r="B46" s="8">
        <v>21</v>
      </c>
      <c r="C46" s="6">
        <v>165</v>
      </c>
      <c r="D46" s="8">
        <v>39.5</v>
      </c>
      <c r="E46" s="7">
        <v>0</v>
      </c>
      <c r="F46" s="8">
        <v>0.1</v>
      </c>
      <c r="G46" s="7">
        <v>0</v>
      </c>
      <c r="H46" s="8">
        <v>9.6</v>
      </c>
      <c r="I46" s="7">
        <v>9.1</v>
      </c>
      <c r="J46" s="8">
        <v>0</v>
      </c>
      <c r="K46" s="6">
        <v>185</v>
      </c>
    </row>
    <row r="47" spans="1:11" ht="10.25" customHeight="1" x14ac:dyDescent="0.3">
      <c r="A47" s="4" t="s">
        <v>87</v>
      </c>
      <c r="B47" s="8">
        <v>21</v>
      </c>
      <c r="C47" s="6">
        <v>155</v>
      </c>
      <c r="D47" s="8">
        <v>38.6</v>
      </c>
      <c r="E47" s="7">
        <v>0.1</v>
      </c>
      <c r="F47" s="8">
        <v>0.1</v>
      </c>
      <c r="G47" s="7">
        <v>0</v>
      </c>
      <c r="H47" s="8">
        <v>9.1</v>
      </c>
      <c r="I47" s="7">
        <v>7.9</v>
      </c>
      <c r="J47" s="8">
        <v>0.1</v>
      </c>
      <c r="K47" s="7">
        <v>73.5</v>
      </c>
    </row>
    <row r="48" spans="1:11" ht="11" customHeight="1" x14ac:dyDescent="0.3">
      <c r="A48" s="297" t="s">
        <v>88</v>
      </c>
      <c r="B48" s="298"/>
      <c r="C48" s="298"/>
      <c r="D48" s="298"/>
      <c r="E48" s="298"/>
      <c r="F48" s="298"/>
      <c r="G48" s="298"/>
      <c r="H48" s="298"/>
      <c r="I48" s="298"/>
      <c r="J48" s="298"/>
      <c r="K48" s="299"/>
    </row>
    <row r="49" spans="1:11" ht="10.25" customHeight="1" x14ac:dyDescent="0.3">
      <c r="A49" s="4" t="s">
        <v>89</v>
      </c>
      <c r="B49" s="8">
        <v>11.3</v>
      </c>
      <c r="C49" s="6">
        <v>162</v>
      </c>
      <c r="D49" s="8">
        <v>38.6</v>
      </c>
      <c r="E49" s="7">
        <v>2.2999999999999998</v>
      </c>
      <c r="F49" s="8">
        <v>3.1</v>
      </c>
      <c r="G49" s="7">
        <v>2</v>
      </c>
      <c r="H49" s="8">
        <v>0.5</v>
      </c>
      <c r="I49" s="7">
        <v>0.2</v>
      </c>
      <c r="J49" s="8">
        <v>0</v>
      </c>
      <c r="K49" s="6">
        <v>136</v>
      </c>
    </row>
    <row r="50" spans="1:11" ht="10.25" customHeight="1" x14ac:dyDescent="0.3">
      <c r="A50" s="4" t="s">
        <v>90</v>
      </c>
      <c r="B50" s="8">
        <v>14.2</v>
      </c>
      <c r="C50" s="6">
        <v>171</v>
      </c>
      <c r="D50" s="8">
        <v>40.9</v>
      </c>
      <c r="E50" s="7">
        <v>3.8</v>
      </c>
      <c r="F50" s="8">
        <v>2.8</v>
      </c>
      <c r="G50" s="7">
        <v>2</v>
      </c>
      <c r="H50" s="8">
        <v>0</v>
      </c>
      <c r="I50" s="7">
        <v>0</v>
      </c>
      <c r="J50" s="8">
        <v>0</v>
      </c>
      <c r="K50" s="7">
        <v>69.599999999999994</v>
      </c>
    </row>
    <row r="51" spans="1:11" ht="10.25" customHeight="1" x14ac:dyDescent="0.3">
      <c r="A51" s="4" t="s">
        <v>91</v>
      </c>
      <c r="B51" s="8">
        <v>11.3</v>
      </c>
      <c r="C51" s="6">
        <v>159</v>
      </c>
      <c r="D51" s="8">
        <v>38.1</v>
      </c>
      <c r="E51" s="7">
        <v>2.2999999999999998</v>
      </c>
      <c r="F51" s="8">
        <v>3</v>
      </c>
      <c r="G51" s="7">
        <v>2.1</v>
      </c>
      <c r="H51" s="8">
        <v>0.6</v>
      </c>
      <c r="I51" s="7">
        <v>0.3</v>
      </c>
      <c r="J51" s="8">
        <v>0</v>
      </c>
      <c r="K51" s="6">
        <v>215</v>
      </c>
    </row>
    <row r="52" spans="1:11" ht="11" customHeight="1" x14ac:dyDescent="0.3">
      <c r="A52" s="297" t="s">
        <v>92</v>
      </c>
      <c r="B52" s="298"/>
      <c r="C52" s="298"/>
      <c r="D52" s="298"/>
      <c r="E52" s="298"/>
      <c r="F52" s="298"/>
      <c r="G52" s="298"/>
      <c r="H52" s="298"/>
      <c r="I52" s="298"/>
      <c r="J52" s="298"/>
      <c r="K52" s="299"/>
    </row>
    <row r="53" spans="1:11" ht="10.25" customHeight="1" x14ac:dyDescent="0.3">
      <c r="A53" s="4" t="s">
        <v>93</v>
      </c>
      <c r="B53" s="8">
        <v>35</v>
      </c>
      <c r="C53" s="6">
        <v>244</v>
      </c>
      <c r="D53" s="8">
        <v>58.3</v>
      </c>
      <c r="E53" s="7">
        <v>1.2</v>
      </c>
      <c r="F53" s="8">
        <v>5.3</v>
      </c>
      <c r="G53" s="7">
        <v>0.6</v>
      </c>
      <c r="H53" s="8">
        <v>3.5</v>
      </c>
      <c r="I53" s="7">
        <v>0</v>
      </c>
      <c r="J53" s="8">
        <v>0</v>
      </c>
      <c r="K53" s="7">
        <v>0</v>
      </c>
    </row>
    <row r="54" spans="1:11" ht="10.25" customHeight="1" x14ac:dyDescent="0.3">
      <c r="A54" s="4" t="s">
        <v>94</v>
      </c>
      <c r="B54" s="8">
        <v>21</v>
      </c>
      <c r="C54" s="7">
        <v>49.3</v>
      </c>
      <c r="D54" s="8">
        <v>11.8</v>
      </c>
      <c r="E54" s="7">
        <v>0.2</v>
      </c>
      <c r="F54" s="8">
        <v>0</v>
      </c>
      <c r="G54" s="7">
        <v>0</v>
      </c>
      <c r="H54" s="8">
        <v>2.5</v>
      </c>
      <c r="I54" s="7">
        <v>2.2999999999999998</v>
      </c>
      <c r="J54" s="8">
        <v>0.5</v>
      </c>
      <c r="K54" s="7">
        <v>52.5</v>
      </c>
    </row>
    <row r="55" spans="1:11" ht="10.25" customHeight="1" x14ac:dyDescent="0.3">
      <c r="A55" s="4" t="s">
        <v>95</v>
      </c>
      <c r="B55" s="8">
        <v>7</v>
      </c>
      <c r="C55" s="7">
        <v>5.9</v>
      </c>
      <c r="D55" s="8">
        <v>1.4</v>
      </c>
      <c r="E55" s="7">
        <v>0.1</v>
      </c>
      <c r="F55" s="8">
        <v>0</v>
      </c>
      <c r="G55" s="7">
        <v>0</v>
      </c>
      <c r="H55" s="8">
        <v>0.2</v>
      </c>
      <c r="I55" s="7">
        <v>0.2</v>
      </c>
      <c r="J55" s="8">
        <v>0.1</v>
      </c>
      <c r="K55" s="7">
        <v>0.2</v>
      </c>
    </row>
    <row r="56" spans="1:11" ht="10.25" customHeight="1" x14ac:dyDescent="0.3">
      <c r="A56" s="4" t="s">
        <v>96</v>
      </c>
      <c r="B56" s="8">
        <v>7</v>
      </c>
      <c r="C56" s="7">
        <v>12</v>
      </c>
      <c r="D56" s="8">
        <v>2.9</v>
      </c>
      <c r="E56" s="7">
        <v>0.1</v>
      </c>
      <c r="F56" s="8">
        <v>0</v>
      </c>
      <c r="G56" s="7">
        <v>0</v>
      </c>
      <c r="H56" s="8">
        <v>0.5</v>
      </c>
      <c r="I56" s="7">
        <v>0.3</v>
      </c>
      <c r="J56" s="8">
        <v>0.2</v>
      </c>
      <c r="K56" s="7">
        <v>4.8</v>
      </c>
    </row>
    <row r="57" spans="1:11" ht="10.25" customHeight="1" x14ac:dyDescent="0.3">
      <c r="A57" s="4" t="s">
        <v>97</v>
      </c>
      <c r="B57" s="8">
        <v>14</v>
      </c>
      <c r="C57" s="7">
        <v>8.8000000000000007</v>
      </c>
      <c r="D57" s="8">
        <v>2.1</v>
      </c>
      <c r="E57" s="7">
        <v>0.1</v>
      </c>
      <c r="F57" s="8">
        <v>0</v>
      </c>
      <c r="G57" s="7">
        <v>0</v>
      </c>
      <c r="H57" s="8">
        <v>0.4</v>
      </c>
      <c r="I57" s="7">
        <v>0.2</v>
      </c>
      <c r="J57" s="8">
        <v>0.1</v>
      </c>
      <c r="K57" s="7">
        <v>0.3</v>
      </c>
    </row>
    <row r="58" spans="1:11" ht="10.25" customHeight="1" x14ac:dyDescent="0.3">
      <c r="A58" s="4" t="s">
        <v>98</v>
      </c>
      <c r="B58" s="8">
        <v>4</v>
      </c>
      <c r="C58" s="7">
        <v>6.7</v>
      </c>
      <c r="D58" s="8">
        <v>1.6</v>
      </c>
      <c r="E58" s="7">
        <v>0.1</v>
      </c>
      <c r="F58" s="8">
        <v>0</v>
      </c>
      <c r="G58" s="7">
        <v>0</v>
      </c>
      <c r="H58" s="8">
        <v>0.2</v>
      </c>
      <c r="I58" s="7">
        <v>0.2</v>
      </c>
      <c r="J58" s="8">
        <v>0.1</v>
      </c>
      <c r="K58" s="7">
        <v>67.599999999999994</v>
      </c>
    </row>
    <row r="59" spans="1:11" ht="10.25" customHeight="1" x14ac:dyDescent="0.3">
      <c r="A59" s="4" t="s">
        <v>99</v>
      </c>
      <c r="B59" s="8">
        <v>21</v>
      </c>
      <c r="C59" s="7">
        <v>12.3</v>
      </c>
      <c r="D59" s="8">
        <v>2.9</v>
      </c>
      <c r="E59" s="7">
        <v>0.2</v>
      </c>
      <c r="F59" s="8">
        <v>0</v>
      </c>
      <c r="G59" s="7">
        <v>0</v>
      </c>
      <c r="H59" s="8">
        <v>0.4</v>
      </c>
      <c r="I59" s="7">
        <v>0.4</v>
      </c>
      <c r="J59" s="8">
        <v>0.3</v>
      </c>
      <c r="K59" s="7">
        <v>2.1</v>
      </c>
    </row>
    <row r="60" spans="1:11" ht="10.25" customHeight="1" x14ac:dyDescent="0.3">
      <c r="A60" s="4" t="s">
        <v>100</v>
      </c>
      <c r="B60" s="8">
        <v>7</v>
      </c>
      <c r="C60" s="7">
        <v>11.7</v>
      </c>
      <c r="D60" s="8">
        <v>2.8</v>
      </c>
      <c r="E60" s="7">
        <v>0.1</v>
      </c>
      <c r="F60" s="8">
        <v>0</v>
      </c>
      <c r="G60" s="7">
        <v>0</v>
      </c>
      <c r="H60" s="8">
        <v>0.5</v>
      </c>
      <c r="I60" s="7">
        <v>0.3</v>
      </c>
      <c r="J60" s="8">
        <v>0.1</v>
      </c>
      <c r="K60" s="7">
        <v>0.3</v>
      </c>
    </row>
    <row r="61" spans="1:11" ht="10.25" customHeight="1" x14ac:dyDescent="0.3">
      <c r="A61" s="4" t="s">
        <v>101</v>
      </c>
      <c r="B61" s="8">
        <v>3</v>
      </c>
      <c r="C61" s="7">
        <v>16.100000000000001</v>
      </c>
      <c r="D61" s="8">
        <v>3.8</v>
      </c>
      <c r="E61" s="7">
        <v>0</v>
      </c>
      <c r="F61" s="8">
        <v>0.3</v>
      </c>
      <c r="G61" s="7">
        <v>0.1</v>
      </c>
      <c r="H61" s="8">
        <v>0.2</v>
      </c>
      <c r="I61" s="7">
        <v>0</v>
      </c>
      <c r="J61" s="8">
        <v>0.1</v>
      </c>
      <c r="K61" s="7">
        <v>26.4</v>
      </c>
    </row>
    <row r="62" spans="1:11" ht="10.25" customHeight="1" x14ac:dyDescent="0.3">
      <c r="A62" s="4" t="s">
        <v>102</v>
      </c>
      <c r="B62" s="8">
        <v>9.5</v>
      </c>
      <c r="C62" s="7">
        <v>5.9</v>
      </c>
      <c r="D62" s="8">
        <v>1.4</v>
      </c>
      <c r="E62" s="7">
        <v>0</v>
      </c>
      <c r="F62" s="8">
        <v>0</v>
      </c>
      <c r="G62" s="7">
        <v>0</v>
      </c>
      <c r="H62" s="8">
        <v>0.2</v>
      </c>
      <c r="I62" s="7">
        <v>0</v>
      </c>
      <c r="J62" s="8">
        <v>0.1</v>
      </c>
      <c r="K62" s="6">
        <v>114</v>
      </c>
    </row>
    <row r="63" spans="1:11" ht="10.25" customHeight="1" x14ac:dyDescent="0.3">
      <c r="A63" s="4" t="s">
        <v>103</v>
      </c>
      <c r="B63" s="8">
        <v>20</v>
      </c>
      <c r="C63" s="7">
        <v>50.2</v>
      </c>
      <c r="D63" s="8">
        <v>12</v>
      </c>
      <c r="E63" s="7">
        <v>0.1</v>
      </c>
      <c r="F63" s="8">
        <v>0</v>
      </c>
      <c r="G63" s="7">
        <v>0</v>
      </c>
      <c r="H63" s="8">
        <v>3.6</v>
      </c>
      <c r="I63" s="7">
        <v>3.2</v>
      </c>
      <c r="J63" s="8">
        <v>0.2</v>
      </c>
      <c r="K63" s="7">
        <v>1.5</v>
      </c>
    </row>
    <row r="64" spans="1:11" ht="10.25" customHeight="1" x14ac:dyDescent="0.3">
      <c r="A64" s="4" t="s">
        <v>104</v>
      </c>
      <c r="B64" s="8">
        <v>7</v>
      </c>
      <c r="C64" s="7">
        <v>6.4</v>
      </c>
      <c r="D64" s="8">
        <v>1.5</v>
      </c>
      <c r="E64" s="7">
        <v>0.2</v>
      </c>
      <c r="F64" s="8">
        <v>0</v>
      </c>
      <c r="G64" s="7">
        <v>0</v>
      </c>
      <c r="H64" s="8">
        <v>0.2</v>
      </c>
      <c r="I64" s="7">
        <v>0</v>
      </c>
      <c r="J64" s="8">
        <v>0.2</v>
      </c>
      <c r="K64" s="7">
        <v>5.5</v>
      </c>
    </row>
    <row r="65" spans="1:12" ht="10.25" customHeight="1" x14ac:dyDescent="0.3">
      <c r="A65" s="4" t="s">
        <v>105</v>
      </c>
      <c r="B65" s="8">
        <v>35</v>
      </c>
      <c r="C65" s="7">
        <v>26.4</v>
      </c>
      <c r="D65" s="8">
        <v>6.3</v>
      </c>
      <c r="E65" s="7">
        <v>0.3</v>
      </c>
      <c r="F65" s="8">
        <v>0.1</v>
      </c>
      <c r="G65" s="7">
        <v>0</v>
      </c>
      <c r="H65" s="8">
        <v>0.9</v>
      </c>
      <c r="I65" s="7">
        <v>0.9</v>
      </c>
      <c r="J65" s="8">
        <v>0.4</v>
      </c>
      <c r="K65" s="7">
        <v>1.8</v>
      </c>
    </row>
    <row r="66" spans="1:12" ht="11" customHeight="1" x14ac:dyDescent="0.3">
      <c r="A66" s="297" t="s">
        <v>106</v>
      </c>
      <c r="B66" s="298"/>
      <c r="C66" s="298"/>
      <c r="D66" s="298"/>
      <c r="E66" s="298"/>
      <c r="F66" s="298"/>
      <c r="G66" s="298"/>
      <c r="H66" s="298"/>
      <c r="I66" s="298"/>
      <c r="J66" s="298"/>
      <c r="K66" s="299"/>
    </row>
    <row r="67" spans="1:12" ht="10.25" customHeight="1" x14ac:dyDescent="0.3">
      <c r="A67" s="4" t="s">
        <v>107</v>
      </c>
      <c r="B67" s="8">
        <v>1</v>
      </c>
      <c r="C67" s="7">
        <v>12.1</v>
      </c>
      <c r="D67" s="8">
        <v>2.9</v>
      </c>
      <c r="E67" s="7">
        <v>0.1</v>
      </c>
      <c r="F67" s="8">
        <v>0</v>
      </c>
      <c r="G67" s="7">
        <v>0</v>
      </c>
      <c r="H67" s="8">
        <v>0.4</v>
      </c>
      <c r="I67" s="7">
        <v>0</v>
      </c>
      <c r="J67" s="8">
        <v>0</v>
      </c>
      <c r="K67" s="7">
        <v>0.3</v>
      </c>
    </row>
    <row r="68" spans="1:12" ht="10.25" customHeight="1" x14ac:dyDescent="0.3">
      <c r="A68" s="4" t="s">
        <v>108</v>
      </c>
      <c r="B68" s="8">
        <v>1</v>
      </c>
      <c r="C68" s="7">
        <v>0</v>
      </c>
      <c r="D68" s="8">
        <v>0</v>
      </c>
      <c r="E68" s="7">
        <v>0</v>
      </c>
      <c r="F68" s="8">
        <v>0</v>
      </c>
      <c r="G68" s="7">
        <v>0</v>
      </c>
      <c r="H68" s="8">
        <v>0</v>
      </c>
      <c r="I68" s="7">
        <v>0</v>
      </c>
      <c r="J68" s="8">
        <v>0</v>
      </c>
      <c r="K68" s="6">
        <v>391</v>
      </c>
    </row>
    <row r="69" spans="1:12" ht="11" customHeight="1" x14ac:dyDescent="0.3">
      <c r="A69" s="297" t="s">
        <v>109</v>
      </c>
      <c r="B69" s="298"/>
      <c r="C69" s="298"/>
      <c r="D69" s="298"/>
      <c r="E69" s="298"/>
      <c r="F69" s="298"/>
      <c r="G69" s="298"/>
      <c r="H69" s="298"/>
      <c r="I69" s="298"/>
      <c r="J69" s="298"/>
      <c r="K69" s="299"/>
    </row>
    <row r="70" spans="1:12" ht="10.25" customHeight="1" x14ac:dyDescent="0.3">
      <c r="A70" s="4" t="s">
        <v>110</v>
      </c>
      <c r="B70" s="5">
        <v>425</v>
      </c>
      <c r="C70" s="6">
        <v>931</v>
      </c>
      <c r="D70" s="5">
        <v>223</v>
      </c>
      <c r="E70" s="7">
        <v>2.1</v>
      </c>
      <c r="F70" s="8">
        <v>0.6</v>
      </c>
      <c r="G70" s="7">
        <v>0.2</v>
      </c>
      <c r="H70" s="8">
        <v>55.7</v>
      </c>
      <c r="I70" s="7">
        <v>38.6</v>
      </c>
      <c r="J70" s="8">
        <v>4</v>
      </c>
      <c r="K70" s="7">
        <v>2</v>
      </c>
    </row>
    <row r="71" spans="1:12" ht="10.25" customHeight="1" x14ac:dyDescent="0.3">
      <c r="A71" s="4" t="s">
        <v>111</v>
      </c>
      <c r="B71" s="5">
        <v>425</v>
      </c>
      <c r="C71" s="6">
        <v>785</v>
      </c>
      <c r="D71" s="5">
        <v>188</v>
      </c>
      <c r="E71" s="7">
        <v>2.2000000000000002</v>
      </c>
      <c r="F71" s="8">
        <v>0.6</v>
      </c>
      <c r="G71" s="7">
        <v>0.2</v>
      </c>
      <c r="H71" s="8">
        <v>46.6</v>
      </c>
      <c r="I71" s="7">
        <v>24.2</v>
      </c>
      <c r="J71" s="8">
        <v>4.2</v>
      </c>
      <c r="K71" s="7">
        <v>26</v>
      </c>
    </row>
    <row r="72" spans="1:12" ht="10.25" customHeight="1" x14ac:dyDescent="0.3">
      <c r="A72" s="4" t="s">
        <v>112</v>
      </c>
      <c r="B72" s="5">
        <v>425</v>
      </c>
      <c r="C72" s="6">
        <v>846</v>
      </c>
      <c r="D72" s="5">
        <v>202</v>
      </c>
      <c r="E72" s="7">
        <v>1.6</v>
      </c>
      <c r="F72" s="8">
        <v>0.4</v>
      </c>
      <c r="G72" s="7">
        <v>0.2</v>
      </c>
      <c r="H72" s="8">
        <v>50.6</v>
      </c>
      <c r="I72" s="7">
        <v>35.4</v>
      </c>
      <c r="J72" s="8">
        <v>3.3</v>
      </c>
      <c r="K72" s="7">
        <v>2</v>
      </c>
    </row>
    <row r="73" spans="1:12" ht="23.25" customHeight="1" x14ac:dyDescent="0.3">
      <c r="A73" s="306" t="s">
        <v>113</v>
      </c>
      <c r="B73" s="304"/>
      <c r="C73" s="304"/>
      <c r="D73" s="304"/>
      <c r="E73" s="304"/>
      <c r="F73" s="304"/>
      <c r="G73" s="304"/>
      <c r="H73" s="304"/>
      <c r="I73" s="304"/>
      <c r="J73" s="304"/>
      <c r="K73" s="305"/>
    </row>
    <row r="74" spans="1:12" ht="10.25" customHeight="1" x14ac:dyDescent="0.3">
      <c r="A74" s="4" t="s">
        <v>114</v>
      </c>
      <c r="B74" s="5">
        <v>208</v>
      </c>
      <c r="C74" s="6">
        <v>1920</v>
      </c>
      <c r="D74" s="5">
        <v>460</v>
      </c>
      <c r="E74" s="7">
        <v>24.1</v>
      </c>
      <c r="F74" s="8">
        <v>14.9</v>
      </c>
      <c r="G74" s="7">
        <v>6.2</v>
      </c>
      <c r="H74" s="8">
        <v>56</v>
      </c>
      <c r="I74" s="7">
        <v>15.6</v>
      </c>
      <c r="J74" s="8">
        <v>3</v>
      </c>
      <c r="K74" s="6">
        <v>1330</v>
      </c>
    </row>
    <row r="75" spans="1:12" ht="29.25" customHeight="1" x14ac:dyDescent="0.3">
      <c r="A75" s="303" t="s">
        <v>115</v>
      </c>
      <c r="B75" s="304"/>
      <c r="C75" s="304"/>
      <c r="D75" s="304"/>
      <c r="E75" s="304"/>
      <c r="F75" s="304"/>
      <c r="G75" s="304"/>
      <c r="H75" s="304"/>
      <c r="I75" s="304"/>
      <c r="J75" s="304"/>
      <c r="K75" s="305"/>
    </row>
    <row r="76" spans="1:12" ht="10.25" customHeight="1" x14ac:dyDescent="0.3">
      <c r="A76" s="4" t="s">
        <v>116</v>
      </c>
      <c r="B76" s="5">
        <v>205</v>
      </c>
      <c r="C76" s="6">
        <v>2140</v>
      </c>
      <c r="D76" s="5">
        <v>512</v>
      </c>
      <c r="E76" s="7">
        <v>27.8</v>
      </c>
      <c r="F76" s="8">
        <v>26.2</v>
      </c>
      <c r="G76" s="7">
        <v>8.4</v>
      </c>
      <c r="H76" s="8">
        <v>48.7</v>
      </c>
      <c r="I76" s="7">
        <v>11.7</v>
      </c>
      <c r="J76" s="8">
        <v>2.5</v>
      </c>
      <c r="K76" s="6">
        <v>1410</v>
      </c>
    </row>
    <row r="77" spans="1:12" ht="11" customHeight="1" x14ac:dyDescent="0.3">
      <c r="A77" s="297" t="s">
        <v>117</v>
      </c>
      <c r="B77" s="298"/>
      <c r="C77" s="298"/>
      <c r="D77" s="298"/>
      <c r="E77" s="298"/>
      <c r="F77" s="298"/>
      <c r="G77" s="298"/>
      <c r="H77" s="298"/>
      <c r="I77" s="298"/>
      <c r="J77" s="298"/>
      <c r="K77" s="299"/>
    </row>
    <row r="78" spans="1:12" ht="10.25" customHeight="1" x14ac:dyDescent="0.3">
      <c r="A78" s="4" t="s">
        <v>207</v>
      </c>
      <c r="B78" s="8">
        <v>64</v>
      </c>
      <c r="C78" s="6">
        <v>774</v>
      </c>
      <c r="D78" s="5">
        <v>185</v>
      </c>
      <c r="E78" s="7">
        <v>14.2</v>
      </c>
      <c r="F78" s="8">
        <v>10.1</v>
      </c>
      <c r="G78" s="7">
        <v>4</v>
      </c>
      <c r="H78" s="8">
        <v>9.6</v>
      </c>
      <c r="I78" s="7">
        <v>6</v>
      </c>
      <c r="J78" s="8">
        <v>0</v>
      </c>
      <c r="K78" s="6">
        <v>612</v>
      </c>
    </row>
    <row r="79" spans="1:12" ht="62.75" customHeight="1" x14ac:dyDescent="0.3">
      <c r="A79" s="307" t="s">
        <v>118</v>
      </c>
      <c r="B79" s="307"/>
      <c r="C79" s="307"/>
      <c r="D79" s="307"/>
      <c r="E79" s="307"/>
      <c r="F79" s="307"/>
      <c r="G79" s="307"/>
      <c r="H79" s="307"/>
      <c r="I79" s="307"/>
      <c r="J79" s="307"/>
      <c r="K79" s="307"/>
      <c r="L79" s="307"/>
    </row>
  </sheetData>
  <sheetProtection algorithmName="SHA-512" hashValue="wRJ9Z5aAy0Aen+7rrv04nSfqDWqTZ52Cn1dDOQdWKghQvGo1bWs5Z01y2hW2V+2VZPsjYvmhOdcjbFYPUmV9ZA==" saltValue="QELY1YgvlLmjR+PPO7ZiYA==" spinCount="100000" sheet="1" objects="1" scenarios="1"/>
  <mergeCells count="12">
    <mergeCell ref="A2:K2"/>
    <mergeCell ref="A6:K6"/>
    <mergeCell ref="A16:K16"/>
    <mergeCell ref="A35:K35"/>
    <mergeCell ref="A48:K48"/>
    <mergeCell ref="A77:K77"/>
    <mergeCell ref="A79:L79"/>
    <mergeCell ref="A52:K52"/>
    <mergeCell ref="A66:K66"/>
    <mergeCell ref="A69:K69"/>
    <mergeCell ref="A73:K73"/>
    <mergeCell ref="A75:K75"/>
  </mergeCells>
  <hyperlinks>
    <hyperlink ref="A79" r:id="rId1" display="http://www.subway.com/en-NZ" xr:uid="{00000000-0004-0000-0100-000000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F7001-7793-4741-8C13-1061D2628FF2}">
  <sheetPr codeName="Sheet4"/>
  <dimension ref="A1:K46"/>
  <sheetViews>
    <sheetView topLeftCell="A16" zoomScaleNormal="100" workbookViewId="0">
      <selection activeCell="A27" sqref="A27"/>
    </sheetView>
  </sheetViews>
  <sheetFormatPr defaultRowHeight="13" x14ac:dyDescent="0.3"/>
  <cols>
    <col min="1" max="1" width="88" bestFit="1" customWidth="1"/>
    <col min="2" max="2" width="15.69921875" bestFit="1" customWidth="1"/>
    <col min="3" max="3" width="11.59765625" bestFit="1" customWidth="1"/>
    <col min="4" max="4" width="13.69921875" bestFit="1" customWidth="1"/>
    <col min="5" max="5" width="11.3984375" bestFit="1" customWidth="1"/>
    <col min="6" max="6" width="13.3984375" bestFit="1" customWidth="1"/>
    <col min="7" max="7" width="11.3984375" bestFit="1" customWidth="1"/>
    <col min="8" max="8" width="18.8984375" bestFit="1" customWidth="1"/>
    <col min="9" max="9" width="10.5" bestFit="1" customWidth="1"/>
    <col min="10" max="10" width="16.8984375" bestFit="1" customWidth="1"/>
    <col min="11" max="11" width="13.59765625" bestFit="1" customWidth="1"/>
  </cols>
  <sheetData>
    <row r="1" spans="1:11" ht="15.5" x14ac:dyDescent="0.3">
      <c r="A1" s="17" t="s">
        <v>155</v>
      </c>
      <c r="B1" s="17" t="s">
        <v>140</v>
      </c>
      <c r="C1" s="17" t="s">
        <v>141</v>
      </c>
      <c r="D1" s="17" t="s">
        <v>142</v>
      </c>
      <c r="E1" s="17" t="s">
        <v>143</v>
      </c>
      <c r="F1" s="17" t="s">
        <v>144</v>
      </c>
      <c r="G1" s="17" t="s">
        <v>145</v>
      </c>
      <c r="H1" s="17" t="s">
        <v>146</v>
      </c>
      <c r="I1" s="17" t="s">
        <v>147</v>
      </c>
      <c r="J1" s="17" t="s">
        <v>148</v>
      </c>
      <c r="K1" s="17" t="s">
        <v>149</v>
      </c>
    </row>
    <row r="2" spans="1:11" ht="15.5" x14ac:dyDescent="0.3">
      <c r="A2" s="16" t="s">
        <v>156</v>
      </c>
      <c r="B2" s="308" t="s">
        <v>154</v>
      </c>
      <c r="C2" s="308"/>
      <c r="D2" s="308"/>
      <c r="E2" s="308"/>
      <c r="F2" s="308"/>
      <c r="G2" s="308"/>
      <c r="H2" s="308"/>
      <c r="I2" s="308"/>
      <c r="J2" s="308"/>
      <c r="K2" s="308"/>
    </row>
    <row r="3" spans="1:11" ht="15.5" x14ac:dyDescent="0.3">
      <c r="A3" s="11" t="s">
        <v>119</v>
      </c>
      <c r="B3" s="20">
        <v>243</v>
      </c>
      <c r="C3" s="20">
        <v>1240</v>
      </c>
      <c r="D3" s="20">
        <v>296</v>
      </c>
      <c r="E3" s="20">
        <v>23.1</v>
      </c>
      <c r="F3" s="20">
        <v>4.0999999999999996</v>
      </c>
      <c r="G3" s="20">
        <v>1</v>
      </c>
      <c r="H3" s="20">
        <v>41.4</v>
      </c>
      <c r="I3" s="20">
        <v>7.5</v>
      </c>
      <c r="J3" s="20">
        <v>4</v>
      </c>
      <c r="K3" s="20">
        <v>1100</v>
      </c>
    </row>
    <row r="4" spans="1:11" ht="15.5" x14ac:dyDescent="0.3">
      <c r="A4" s="11" t="s">
        <v>336</v>
      </c>
      <c r="B4" s="20">
        <v>266</v>
      </c>
      <c r="C4" s="20">
        <v>1920</v>
      </c>
      <c r="D4" s="20">
        <v>458</v>
      </c>
      <c r="E4" s="20">
        <v>30.1</v>
      </c>
      <c r="F4" s="20">
        <v>19.8</v>
      </c>
      <c r="G4" s="20">
        <v>6</v>
      </c>
      <c r="H4" s="20">
        <v>40</v>
      </c>
      <c r="I4" s="20">
        <v>6.2</v>
      </c>
      <c r="J4" s="20">
        <v>4</v>
      </c>
      <c r="K4" s="20">
        <v>985</v>
      </c>
    </row>
    <row r="5" spans="1:11" ht="15.5" x14ac:dyDescent="0.3">
      <c r="A5" s="11" t="s">
        <v>120</v>
      </c>
      <c r="B5" s="20">
        <v>218</v>
      </c>
      <c r="C5" s="20">
        <v>1420</v>
      </c>
      <c r="D5" s="20">
        <v>339</v>
      </c>
      <c r="E5" s="20">
        <v>17.899999999999999</v>
      </c>
      <c r="F5" s="20">
        <v>10.3</v>
      </c>
      <c r="G5" s="20">
        <v>2</v>
      </c>
      <c r="H5" s="20">
        <v>41.2</v>
      </c>
      <c r="I5" s="20">
        <v>5.2</v>
      </c>
      <c r="J5" s="20">
        <v>3</v>
      </c>
      <c r="K5" s="20">
        <v>639</v>
      </c>
    </row>
    <row r="6" spans="1:11" ht="15.5" x14ac:dyDescent="0.3">
      <c r="A6" s="11" t="s">
        <v>121</v>
      </c>
      <c r="B6" s="20">
        <v>222</v>
      </c>
      <c r="C6" s="20">
        <v>1170</v>
      </c>
      <c r="D6" s="20">
        <v>281</v>
      </c>
      <c r="E6" s="20">
        <v>22.8</v>
      </c>
      <c r="F6" s="20">
        <v>4</v>
      </c>
      <c r="G6" s="20">
        <v>0.9</v>
      </c>
      <c r="H6" s="20">
        <v>38.5</v>
      </c>
      <c r="I6" s="20">
        <v>5.3</v>
      </c>
      <c r="J6" s="20">
        <v>3.9</v>
      </c>
      <c r="K6" s="20">
        <v>517</v>
      </c>
    </row>
    <row r="7" spans="1:11" ht="15.5" x14ac:dyDescent="0.3">
      <c r="A7" s="11" t="s">
        <v>122</v>
      </c>
      <c r="B7" s="20">
        <v>243</v>
      </c>
      <c r="C7" s="20">
        <v>1310</v>
      </c>
      <c r="D7" s="20">
        <v>313</v>
      </c>
      <c r="E7" s="20">
        <v>22.9</v>
      </c>
      <c r="F7" s="20">
        <v>4.0999999999999996</v>
      </c>
      <c r="G7" s="20">
        <v>0.9</v>
      </c>
      <c r="H7" s="20">
        <v>45.9</v>
      </c>
      <c r="I7" s="20">
        <v>9.6</v>
      </c>
      <c r="J7" s="20">
        <v>3.9</v>
      </c>
      <c r="K7" s="20">
        <v>712</v>
      </c>
    </row>
    <row r="8" spans="1:11" ht="15.5" x14ac:dyDescent="0.3">
      <c r="A8" s="11" t="s">
        <v>343</v>
      </c>
      <c r="B8" s="20">
        <v>214</v>
      </c>
      <c r="C8" s="20">
        <v>1570</v>
      </c>
      <c r="D8" s="20">
        <v>374</v>
      </c>
      <c r="E8" s="20">
        <v>20.100000000000001</v>
      </c>
      <c r="F8" s="20">
        <v>14.6</v>
      </c>
      <c r="G8" s="20">
        <v>5.2</v>
      </c>
      <c r="H8" s="20">
        <v>39.4</v>
      </c>
      <c r="I8" s="20">
        <v>5.4</v>
      </c>
      <c r="J8" s="20">
        <v>3</v>
      </c>
      <c r="K8" s="20">
        <v>1010</v>
      </c>
    </row>
    <row r="9" spans="1:11" ht="15.5" x14ac:dyDescent="0.3">
      <c r="A9" s="11" t="s">
        <v>123</v>
      </c>
      <c r="B9" s="20">
        <v>198</v>
      </c>
      <c r="C9" s="20">
        <v>1060</v>
      </c>
      <c r="D9" s="20">
        <v>252</v>
      </c>
      <c r="E9" s="20">
        <v>15.4</v>
      </c>
      <c r="F9" s="20">
        <v>3.5</v>
      </c>
      <c r="G9" s="20">
        <v>0.8</v>
      </c>
      <c r="H9" s="20">
        <v>38.5</v>
      </c>
      <c r="I9" s="20">
        <v>5.3</v>
      </c>
      <c r="J9" s="20">
        <v>3</v>
      </c>
      <c r="K9" s="20">
        <v>689</v>
      </c>
    </row>
    <row r="10" spans="1:11" ht="15.5" x14ac:dyDescent="0.3">
      <c r="A10" s="11" t="s">
        <v>338</v>
      </c>
      <c r="B10" s="20">
        <v>297</v>
      </c>
      <c r="C10" s="20">
        <v>1710</v>
      </c>
      <c r="D10" s="20">
        <v>409</v>
      </c>
      <c r="E10" s="20">
        <v>22.5</v>
      </c>
      <c r="F10" s="20">
        <v>12.3</v>
      </c>
      <c r="G10" s="20">
        <v>5.3</v>
      </c>
      <c r="H10" s="20">
        <v>47.7</v>
      </c>
      <c r="I10" s="20">
        <v>9.8000000000000007</v>
      </c>
      <c r="J10" s="20">
        <v>4.5</v>
      </c>
      <c r="K10" s="20">
        <v>794</v>
      </c>
    </row>
    <row r="11" spans="1:11" ht="15.5" x14ac:dyDescent="0.3">
      <c r="A11" s="11" t="s">
        <v>339</v>
      </c>
      <c r="B11" s="20">
        <v>229</v>
      </c>
      <c r="C11" s="20">
        <v>1710</v>
      </c>
      <c r="D11" s="20">
        <v>409</v>
      </c>
      <c r="E11" s="20">
        <v>20.7</v>
      </c>
      <c r="F11" s="20">
        <v>17.399999999999999</v>
      </c>
      <c r="G11" s="20">
        <v>7.1</v>
      </c>
      <c r="H11" s="20">
        <v>40.799999999999997</v>
      </c>
      <c r="I11" s="20">
        <v>6.6</v>
      </c>
      <c r="J11" s="20">
        <v>3.5</v>
      </c>
      <c r="K11" s="20">
        <v>928</v>
      </c>
    </row>
    <row r="12" spans="1:11" ht="15.5" x14ac:dyDescent="0.3">
      <c r="A12" s="11" t="s">
        <v>124</v>
      </c>
      <c r="B12" s="20">
        <v>256</v>
      </c>
      <c r="C12" s="20">
        <v>1910</v>
      </c>
      <c r="D12" s="20">
        <v>455</v>
      </c>
      <c r="E12" s="20">
        <v>19.899999999999999</v>
      </c>
      <c r="F12" s="20">
        <v>20</v>
      </c>
      <c r="G12" s="20">
        <v>6.6</v>
      </c>
      <c r="H12" s="20">
        <v>47.7</v>
      </c>
      <c r="I12" s="20">
        <v>10.6</v>
      </c>
      <c r="J12" s="20">
        <v>4.0999999999999996</v>
      </c>
      <c r="K12" s="20">
        <v>1021</v>
      </c>
    </row>
    <row r="13" spans="1:11" ht="15.5" x14ac:dyDescent="0.3">
      <c r="A13" s="11" t="s">
        <v>125</v>
      </c>
      <c r="B13" s="20">
        <v>206</v>
      </c>
      <c r="C13" s="20">
        <v>1120</v>
      </c>
      <c r="D13" s="20">
        <v>267</v>
      </c>
      <c r="E13" s="20">
        <v>16.600000000000001</v>
      </c>
      <c r="F13" s="20">
        <v>3.8</v>
      </c>
      <c r="G13" s="20">
        <v>1</v>
      </c>
      <c r="H13" s="20">
        <v>39.200000000000003</v>
      </c>
      <c r="I13" s="20">
        <v>5.7</v>
      </c>
      <c r="J13" s="20">
        <v>3</v>
      </c>
      <c r="K13" s="20">
        <v>510</v>
      </c>
    </row>
    <row r="14" spans="1:11" ht="15.5" x14ac:dyDescent="0.3">
      <c r="A14" s="11" t="s">
        <v>126</v>
      </c>
      <c r="B14" s="20">
        <v>233</v>
      </c>
      <c r="C14" s="20">
        <v>1570</v>
      </c>
      <c r="D14" s="20">
        <v>375</v>
      </c>
      <c r="E14" s="20">
        <v>15</v>
      </c>
      <c r="F14" s="20">
        <v>8.1999999999999993</v>
      </c>
      <c r="G14" s="20">
        <v>1.3</v>
      </c>
      <c r="H14" s="20">
        <v>55.5</v>
      </c>
      <c r="I14" s="20">
        <v>8.6</v>
      </c>
      <c r="J14" s="20">
        <v>6.2</v>
      </c>
      <c r="K14" s="20">
        <v>911</v>
      </c>
    </row>
    <row r="15" spans="1:11" ht="15.5" x14ac:dyDescent="0.3">
      <c r="A15" s="11" t="s">
        <v>340</v>
      </c>
      <c r="B15" s="20">
        <v>236</v>
      </c>
      <c r="C15" s="20">
        <v>1490</v>
      </c>
      <c r="D15" s="20">
        <v>357</v>
      </c>
      <c r="E15" s="20">
        <v>26.6</v>
      </c>
      <c r="F15" s="20">
        <v>9.6</v>
      </c>
      <c r="G15" s="20">
        <v>4.4000000000000004</v>
      </c>
      <c r="H15" s="20">
        <v>38.6</v>
      </c>
      <c r="I15" s="20">
        <v>5.3</v>
      </c>
      <c r="J15" s="20">
        <v>3</v>
      </c>
      <c r="K15" s="20">
        <v>676</v>
      </c>
    </row>
    <row r="16" spans="1:11" ht="15.5" x14ac:dyDescent="0.3">
      <c r="A16" s="11" t="s">
        <v>127</v>
      </c>
      <c r="B16" s="20">
        <v>263</v>
      </c>
      <c r="C16" s="20">
        <v>1790</v>
      </c>
      <c r="D16" s="20">
        <v>427</v>
      </c>
      <c r="E16" s="20">
        <v>29.2</v>
      </c>
      <c r="F16" s="20">
        <v>14.1</v>
      </c>
      <c r="G16" s="20">
        <v>2.4</v>
      </c>
      <c r="H16" s="20">
        <v>47.4</v>
      </c>
      <c r="I16" s="20">
        <v>5.5</v>
      </c>
      <c r="J16" s="20">
        <v>3</v>
      </c>
      <c r="K16" s="20">
        <v>858</v>
      </c>
    </row>
    <row r="17" spans="1:11" ht="15.5" x14ac:dyDescent="0.3">
      <c r="A17" s="11" t="s">
        <v>345</v>
      </c>
      <c r="B17" s="20">
        <v>222</v>
      </c>
      <c r="C17" s="20">
        <v>1200</v>
      </c>
      <c r="D17" s="20">
        <v>288</v>
      </c>
      <c r="E17" s="20">
        <v>18.600000000000001</v>
      </c>
      <c r="F17" s="20">
        <v>4.5</v>
      </c>
      <c r="G17" s="20">
        <v>0.8</v>
      </c>
      <c r="H17" s="20">
        <v>41.6</v>
      </c>
      <c r="I17" s="20">
        <v>7.2</v>
      </c>
      <c r="J17" s="20">
        <v>3</v>
      </c>
      <c r="K17" s="20">
        <v>520</v>
      </c>
    </row>
    <row r="18" spans="1:11" ht="15.5" x14ac:dyDescent="0.3">
      <c r="A18" s="11" t="s">
        <v>129</v>
      </c>
      <c r="B18" s="20">
        <v>212</v>
      </c>
      <c r="C18" s="20">
        <v>1130</v>
      </c>
      <c r="D18" s="20">
        <v>270</v>
      </c>
      <c r="E18" s="20">
        <v>19.8</v>
      </c>
      <c r="F18" s="20">
        <v>2.8</v>
      </c>
      <c r="G18" s="20">
        <v>0.8</v>
      </c>
      <c r="H18" s="20">
        <v>39.4</v>
      </c>
      <c r="I18" s="20">
        <v>5.2</v>
      </c>
      <c r="J18" s="20">
        <v>3</v>
      </c>
      <c r="K18" s="20">
        <v>607</v>
      </c>
    </row>
    <row r="19" spans="1:11" ht="15.5" x14ac:dyDescent="0.3">
      <c r="A19" s="11" t="s">
        <v>130</v>
      </c>
      <c r="B19" s="20">
        <v>193</v>
      </c>
      <c r="C19" s="20">
        <v>1130</v>
      </c>
      <c r="D19" s="20">
        <v>271</v>
      </c>
      <c r="E19" s="20">
        <v>9.5</v>
      </c>
      <c r="F19" s="20">
        <v>7.6</v>
      </c>
      <c r="G19" s="20">
        <v>1</v>
      </c>
      <c r="H19" s="20">
        <v>41.4</v>
      </c>
      <c r="I19" s="20">
        <v>4.7</v>
      </c>
      <c r="J19" s="20">
        <v>3</v>
      </c>
      <c r="K19" s="20">
        <v>249</v>
      </c>
    </row>
    <row r="20" spans="1:11" ht="15.5" x14ac:dyDescent="0.3">
      <c r="A20" s="11" t="s">
        <v>131</v>
      </c>
      <c r="B20" s="20">
        <v>248</v>
      </c>
      <c r="C20" s="20">
        <v>1690</v>
      </c>
      <c r="D20" s="20">
        <v>404</v>
      </c>
      <c r="E20" s="20">
        <v>16</v>
      </c>
      <c r="F20" s="20">
        <v>11.7</v>
      </c>
      <c r="G20" s="20">
        <v>2.2000000000000002</v>
      </c>
      <c r="H20" s="20">
        <v>54.4</v>
      </c>
      <c r="I20" s="20">
        <v>7.3</v>
      </c>
      <c r="J20" s="20">
        <v>9.1999999999999993</v>
      </c>
      <c r="K20" s="20">
        <v>573</v>
      </c>
    </row>
    <row r="21" spans="1:11" ht="15.5" x14ac:dyDescent="0.3">
      <c r="A21" s="11" t="s">
        <v>123</v>
      </c>
      <c r="B21" s="20">
        <v>125</v>
      </c>
      <c r="C21" s="20">
        <v>675</v>
      </c>
      <c r="D21" s="20">
        <v>161</v>
      </c>
      <c r="E21" s="20">
        <v>9.1</v>
      </c>
      <c r="F21" s="20">
        <v>2.1</v>
      </c>
      <c r="G21" s="20">
        <v>0.4</v>
      </c>
      <c r="H21" s="20">
        <v>25.5</v>
      </c>
      <c r="I21" s="20">
        <v>3.5</v>
      </c>
      <c r="J21" s="20">
        <v>2</v>
      </c>
      <c r="K21" s="20">
        <v>386</v>
      </c>
    </row>
    <row r="22" spans="1:11" ht="15.5" x14ac:dyDescent="0.3">
      <c r="A22" s="11" t="s">
        <v>125</v>
      </c>
      <c r="B22" s="20">
        <v>138</v>
      </c>
      <c r="C22" s="20">
        <v>750</v>
      </c>
      <c r="D22" s="20">
        <v>179</v>
      </c>
      <c r="E22" s="20">
        <v>11.3</v>
      </c>
      <c r="F22" s="20">
        <v>2.6</v>
      </c>
      <c r="G22" s="20">
        <v>0.7</v>
      </c>
      <c r="H22" s="20">
        <v>26.1</v>
      </c>
      <c r="I22" s="20">
        <v>3.8</v>
      </c>
      <c r="J22" s="20">
        <v>2</v>
      </c>
      <c r="K22" s="20">
        <v>345</v>
      </c>
    </row>
    <row r="23" spans="1:11" ht="15.5" x14ac:dyDescent="0.3">
      <c r="A23" s="11" t="s">
        <v>132</v>
      </c>
      <c r="B23" s="20">
        <v>132</v>
      </c>
      <c r="C23" s="20">
        <v>709</v>
      </c>
      <c r="D23" s="20">
        <v>170</v>
      </c>
      <c r="E23" s="20">
        <v>11.3</v>
      </c>
      <c r="F23" s="20">
        <v>1.8</v>
      </c>
      <c r="G23" s="20">
        <v>0.5</v>
      </c>
      <c r="H23" s="20">
        <v>25.8</v>
      </c>
      <c r="I23" s="20">
        <v>21.3</v>
      </c>
      <c r="J23" s="20">
        <v>2</v>
      </c>
      <c r="K23" s="20">
        <v>345</v>
      </c>
    </row>
    <row r="24" spans="1:11" ht="15.5" x14ac:dyDescent="0.3">
      <c r="A24" s="11" t="s">
        <v>130</v>
      </c>
      <c r="B24" s="20">
        <v>130</v>
      </c>
      <c r="C24" s="20">
        <v>766</v>
      </c>
      <c r="D24" s="20">
        <v>183</v>
      </c>
      <c r="E24" s="20">
        <v>6.4</v>
      </c>
      <c r="F24" s="20">
        <v>5.3</v>
      </c>
      <c r="G24" s="20">
        <v>0.7</v>
      </c>
      <c r="H24" s="20">
        <v>27.7</v>
      </c>
      <c r="I24" s="20">
        <v>3.2</v>
      </c>
      <c r="J24" s="20">
        <v>2</v>
      </c>
      <c r="K24" s="20">
        <v>166</v>
      </c>
    </row>
    <row r="25" spans="1:11" ht="15.5" x14ac:dyDescent="0.3">
      <c r="A25" s="12" t="s">
        <v>157</v>
      </c>
      <c r="B25" s="309" t="s">
        <v>346</v>
      </c>
      <c r="C25" s="309"/>
      <c r="D25" s="309"/>
      <c r="E25" s="309"/>
      <c r="F25" s="309"/>
      <c r="G25" s="309"/>
      <c r="H25" s="309"/>
      <c r="I25" s="309"/>
      <c r="J25" s="309"/>
      <c r="K25" s="309"/>
    </row>
    <row r="26" spans="1:11" ht="15.5" x14ac:dyDescent="0.3">
      <c r="A26" s="11" t="s">
        <v>337</v>
      </c>
      <c r="B26" s="20">
        <v>202</v>
      </c>
      <c r="C26" s="20">
        <v>1540</v>
      </c>
      <c r="D26" s="20">
        <v>369</v>
      </c>
      <c r="E26" s="20">
        <v>21.1</v>
      </c>
      <c r="F26" s="20">
        <v>14</v>
      </c>
      <c r="G26" s="20">
        <v>5.7</v>
      </c>
      <c r="H26" s="20">
        <v>37.9</v>
      </c>
      <c r="I26" s="20">
        <v>4.5999999999999996</v>
      </c>
      <c r="J26" s="20">
        <v>2.7</v>
      </c>
      <c r="K26" s="20">
        <v>718</v>
      </c>
    </row>
    <row r="27" spans="1:11" ht="15.5" x14ac:dyDescent="0.3">
      <c r="A27" s="11" t="s">
        <v>341</v>
      </c>
      <c r="B27" s="20">
        <v>193</v>
      </c>
      <c r="C27" s="20">
        <v>1360</v>
      </c>
      <c r="D27" s="20">
        <v>324</v>
      </c>
      <c r="E27" s="20">
        <v>17.899999999999999</v>
      </c>
      <c r="F27" s="20">
        <v>10.7</v>
      </c>
      <c r="G27" s="20">
        <v>4.2</v>
      </c>
      <c r="H27" s="20">
        <v>37.799999999999997</v>
      </c>
      <c r="I27" s="20">
        <v>4.5</v>
      </c>
      <c r="J27" s="20">
        <v>2.7</v>
      </c>
      <c r="K27" s="20">
        <v>521</v>
      </c>
    </row>
    <row r="28" spans="1:11" ht="15.5" x14ac:dyDescent="0.3">
      <c r="A28" s="11" t="s">
        <v>342</v>
      </c>
      <c r="B28" s="20">
        <v>233</v>
      </c>
      <c r="C28" s="20">
        <v>1520</v>
      </c>
      <c r="D28" s="20">
        <v>364</v>
      </c>
      <c r="E28" s="20">
        <v>24.9</v>
      </c>
      <c r="F28" s="20">
        <v>11.8</v>
      </c>
      <c r="G28" s="20">
        <v>4.5999999999999996</v>
      </c>
      <c r="H28" s="20">
        <v>38.4</v>
      </c>
      <c r="I28" s="20">
        <v>5.0999999999999996</v>
      </c>
      <c r="J28" s="20">
        <v>2.7</v>
      </c>
      <c r="K28" s="20">
        <v>960</v>
      </c>
    </row>
    <row r="29" spans="1:11" ht="15.5" x14ac:dyDescent="0.3">
      <c r="A29" s="11" t="s">
        <v>344</v>
      </c>
      <c r="B29" s="20">
        <v>257</v>
      </c>
      <c r="C29" s="20">
        <v>1790</v>
      </c>
      <c r="D29" s="20">
        <v>428</v>
      </c>
      <c r="E29" s="20">
        <v>32.299999999999997</v>
      </c>
      <c r="F29" s="20">
        <v>15.1</v>
      </c>
      <c r="G29" s="20">
        <v>6.2</v>
      </c>
      <c r="H29" s="20">
        <v>38.4</v>
      </c>
      <c r="I29" s="20">
        <v>5</v>
      </c>
      <c r="J29" s="20">
        <v>2.7</v>
      </c>
      <c r="K29" s="20">
        <v>879</v>
      </c>
    </row>
    <row r="30" spans="1:11" ht="15.5" x14ac:dyDescent="0.3">
      <c r="A30" s="12" t="s">
        <v>150</v>
      </c>
      <c r="B30" s="14"/>
      <c r="C30" s="14"/>
      <c r="D30" s="14"/>
      <c r="E30" s="14"/>
      <c r="F30" s="14"/>
      <c r="G30" s="14"/>
      <c r="H30" s="14"/>
      <c r="I30" s="14"/>
      <c r="J30" s="14"/>
      <c r="K30" s="14"/>
    </row>
    <row r="31" spans="1:11" ht="15.5" x14ac:dyDescent="0.3">
      <c r="A31" s="11" t="s">
        <v>347</v>
      </c>
      <c r="B31" s="20">
        <v>137</v>
      </c>
      <c r="C31" s="20">
        <v>1310</v>
      </c>
      <c r="D31" s="20">
        <v>312</v>
      </c>
      <c r="E31" s="20">
        <v>9.6999999999999993</v>
      </c>
      <c r="F31" s="20">
        <v>12.6</v>
      </c>
      <c r="G31" s="20">
        <v>1.5</v>
      </c>
      <c r="H31" s="20">
        <v>42.2</v>
      </c>
      <c r="I31" s="20">
        <v>2.7</v>
      </c>
      <c r="J31" s="20">
        <v>1.8</v>
      </c>
      <c r="K31" s="20">
        <v>239</v>
      </c>
    </row>
    <row r="32" spans="1:11" ht="15.5" x14ac:dyDescent="0.3">
      <c r="A32" s="11" t="s">
        <v>348</v>
      </c>
      <c r="B32" s="20">
        <v>123</v>
      </c>
      <c r="C32" s="20">
        <v>1500</v>
      </c>
      <c r="D32" s="20">
        <v>359</v>
      </c>
      <c r="E32" s="20">
        <v>16.399999999999999</v>
      </c>
      <c r="F32" s="20">
        <v>14.4</v>
      </c>
      <c r="G32" s="20">
        <v>5.8</v>
      </c>
      <c r="H32" s="20">
        <v>39.299999999999997</v>
      </c>
      <c r="I32" s="20">
        <v>3.8</v>
      </c>
      <c r="J32" s="20">
        <v>2.1</v>
      </c>
      <c r="K32" s="20">
        <v>737</v>
      </c>
    </row>
    <row r="33" spans="1:11" ht="15.5" x14ac:dyDescent="0.3">
      <c r="A33" s="11" t="s">
        <v>349</v>
      </c>
      <c r="B33" s="20">
        <v>94</v>
      </c>
      <c r="C33" s="20">
        <v>1110</v>
      </c>
      <c r="D33" s="20">
        <v>266</v>
      </c>
      <c r="E33" s="20">
        <v>9.6</v>
      </c>
      <c r="F33" s="20">
        <v>16.899999999999999</v>
      </c>
      <c r="G33" s="20">
        <v>5</v>
      </c>
      <c r="H33" s="20">
        <v>19.3</v>
      </c>
      <c r="I33" s="20">
        <v>2.2999999999999998</v>
      </c>
      <c r="J33" s="20">
        <v>3.5</v>
      </c>
      <c r="K33" s="20">
        <v>378</v>
      </c>
    </row>
    <row r="34" spans="1:11" ht="15.5" x14ac:dyDescent="0.3">
      <c r="A34" s="11" t="s">
        <v>350</v>
      </c>
      <c r="B34" s="20">
        <v>93</v>
      </c>
      <c r="C34" s="20">
        <v>1140</v>
      </c>
      <c r="D34" s="20">
        <v>272</v>
      </c>
      <c r="E34" s="20">
        <v>8.4</v>
      </c>
      <c r="F34" s="20">
        <v>8.5</v>
      </c>
      <c r="G34" s="20">
        <v>1.5</v>
      </c>
      <c r="H34" s="20">
        <v>39.299999999999997</v>
      </c>
      <c r="I34" s="20">
        <v>3.8</v>
      </c>
      <c r="J34" s="20">
        <v>2.1</v>
      </c>
      <c r="K34" s="20">
        <v>590</v>
      </c>
    </row>
    <row r="35" spans="1:11" ht="15.5" x14ac:dyDescent="0.3">
      <c r="A35" s="11" t="s">
        <v>351</v>
      </c>
      <c r="B35" s="20">
        <v>127</v>
      </c>
      <c r="C35" s="20">
        <v>1040</v>
      </c>
      <c r="D35" s="20">
        <v>248</v>
      </c>
      <c r="E35" s="20">
        <v>13.8</v>
      </c>
      <c r="F35" s="20">
        <v>6.4</v>
      </c>
      <c r="G35" s="20">
        <v>2.7</v>
      </c>
      <c r="H35" s="20">
        <v>32.5</v>
      </c>
      <c r="I35" s="20">
        <v>4.7</v>
      </c>
      <c r="J35" s="20">
        <v>1.8</v>
      </c>
      <c r="K35" s="20">
        <v>568</v>
      </c>
    </row>
    <row r="36" spans="1:11" ht="15.5" x14ac:dyDescent="0.3">
      <c r="A36" s="11" t="s">
        <v>352</v>
      </c>
      <c r="B36" s="20">
        <v>194</v>
      </c>
      <c r="C36" s="20">
        <v>1060</v>
      </c>
      <c r="D36" s="20">
        <v>254</v>
      </c>
      <c r="E36" s="20">
        <v>110</v>
      </c>
      <c r="F36" s="20">
        <v>12.2</v>
      </c>
      <c r="G36" s="20">
        <v>5.4</v>
      </c>
      <c r="H36" s="20">
        <v>14.6</v>
      </c>
      <c r="I36" s="20">
        <v>7.6</v>
      </c>
      <c r="J36" s="20">
        <v>2.2000000000000002</v>
      </c>
      <c r="K36" s="20">
        <v>746</v>
      </c>
    </row>
    <row r="37" spans="1:11" ht="15.5" x14ac:dyDescent="0.3">
      <c r="A37" s="12" t="s">
        <v>151</v>
      </c>
      <c r="B37" s="402"/>
      <c r="C37" s="402"/>
      <c r="D37" s="402"/>
      <c r="E37" s="402"/>
      <c r="F37" s="402"/>
      <c r="G37" s="402"/>
      <c r="H37" s="402"/>
      <c r="I37" s="402"/>
      <c r="J37" s="402"/>
      <c r="K37" s="402"/>
    </row>
    <row r="38" spans="1:11" ht="15.5" x14ac:dyDescent="0.3">
      <c r="A38" s="11" t="s">
        <v>133</v>
      </c>
      <c r="B38" s="20">
        <v>45</v>
      </c>
      <c r="C38" s="20">
        <v>909</v>
      </c>
      <c r="D38" s="20">
        <v>217</v>
      </c>
      <c r="E38" s="20">
        <v>2.4</v>
      </c>
      <c r="F38" s="20">
        <v>10.4</v>
      </c>
      <c r="G38" s="20">
        <v>6.5</v>
      </c>
      <c r="H38" s="20">
        <v>28.5</v>
      </c>
      <c r="I38" s="20">
        <v>17.5</v>
      </c>
      <c r="J38" s="20">
        <v>0.9</v>
      </c>
      <c r="K38" s="20">
        <v>161</v>
      </c>
    </row>
    <row r="39" spans="1:11" ht="15.5" x14ac:dyDescent="0.3">
      <c r="A39" s="11" t="s">
        <v>153</v>
      </c>
      <c r="B39" s="20">
        <v>45</v>
      </c>
      <c r="C39" s="20">
        <v>891</v>
      </c>
      <c r="D39" s="20">
        <v>213</v>
      </c>
      <c r="E39" s="20">
        <v>2.5</v>
      </c>
      <c r="F39" s="20">
        <v>9.8000000000000007</v>
      </c>
      <c r="G39" s="20">
        <v>5.4</v>
      </c>
      <c r="H39" s="20">
        <v>28.5</v>
      </c>
      <c r="I39" s="20">
        <v>16.7</v>
      </c>
      <c r="J39" s="20">
        <v>0.9</v>
      </c>
      <c r="K39" s="20">
        <v>172</v>
      </c>
    </row>
    <row r="40" spans="1:11" ht="15.5" x14ac:dyDescent="0.3">
      <c r="A40" s="11" t="s">
        <v>134</v>
      </c>
      <c r="B40" s="20">
        <v>45</v>
      </c>
      <c r="C40" s="20">
        <v>891</v>
      </c>
      <c r="D40" s="20">
        <v>213</v>
      </c>
      <c r="E40" s="20">
        <v>2.5</v>
      </c>
      <c r="F40" s="20">
        <v>9.9</v>
      </c>
      <c r="G40" s="20">
        <v>6.8</v>
      </c>
      <c r="H40" s="20">
        <v>28.4</v>
      </c>
      <c r="I40" s="20">
        <v>18.5</v>
      </c>
      <c r="J40" s="20">
        <v>1.2</v>
      </c>
      <c r="K40" s="20">
        <v>160</v>
      </c>
    </row>
    <row r="41" spans="1:11" ht="15.5" x14ac:dyDescent="0.3">
      <c r="A41" s="11" t="s">
        <v>135</v>
      </c>
      <c r="B41" s="20">
        <v>45</v>
      </c>
      <c r="C41" s="20">
        <v>796</v>
      </c>
      <c r="D41" s="20">
        <v>190</v>
      </c>
      <c r="E41" s="20">
        <v>2.5</v>
      </c>
      <c r="F41" s="20">
        <v>6.9</v>
      </c>
      <c r="G41" s="20">
        <v>3.4</v>
      </c>
      <c r="H41" s="20">
        <v>29.3</v>
      </c>
      <c r="I41" s="20">
        <v>17.5</v>
      </c>
      <c r="J41" s="20">
        <v>1.4</v>
      </c>
      <c r="K41" s="20">
        <v>176</v>
      </c>
    </row>
    <row r="42" spans="1:11" ht="15.5" x14ac:dyDescent="0.3">
      <c r="A42" s="11" t="s">
        <v>136</v>
      </c>
      <c r="B42" s="20">
        <v>45</v>
      </c>
      <c r="C42" s="20">
        <v>914</v>
      </c>
      <c r="D42" s="20">
        <v>218</v>
      </c>
      <c r="E42" s="20">
        <v>2.6</v>
      </c>
      <c r="F42" s="20">
        <v>11</v>
      </c>
      <c r="G42" s="20">
        <v>6.3</v>
      </c>
      <c r="H42" s="20">
        <v>27.2</v>
      </c>
      <c r="I42" s="20">
        <v>17.3</v>
      </c>
      <c r="J42" s="20">
        <v>0.8</v>
      </c>
      <c r="K42" s="20">
        <v>196</v>
      </c>
    </row>
    <row r="43" spans="1:11" ht="15.5" x14ac:dyDescent="0.3">
      <c r="A43" s="12" t="s">
        <v>152</v>
      </c>
      <c r="B43" s="403"/>
      <c r="C43" s="403"/>
      <c r="D43" s="403"/>
      <c r="E43" s="403"/>
      <c r="F43" s="403"/>
      <c r="G43" s="403"/>
      <c r="H43" s="402"/>
      <c r="I43" s="402"/>
      <c r="J43" s="402"/>
      <c r="K43" s="402"/>
    </row>
    <row r="44" spans="1:11" ht="15.5" x14ac:dyDescent="0.3">
      <c r="A44" s="11" t="s">
        <v>137</v>
      </c>
      <c r="B44" s="20">
        <v>115</v>
      </c>
      <c r="C44" s="20">
        <v>1420</v>
      </c>
      <c r="D44" s="20">
        <v>338</v>
      </c>
      <c r="E44" s="20">
        <v>6.1</v>
      </c>
      <c r="F44" s="20">
        <v>15.5</v>
      </c>
      <c r="G44" s="20">
        <v>9.1</v>
      </c>
      <c r="H44" s="20">
        <v>42.5</v>
      </c>
      <c r="I44" s="20">
        <v>13.9</v>
      </c>
      <c r="J44" s="20">
        <v>0</v>
      </c>
      <c r="K44" s="20">
        <v>357</v>
      </c>
    </row>
    <row r="45" spans="1:11" ht="15.5" x14ac:dyDescent="0.3">
      <c r="A45" s="11" t="s">
        <v>138</v>
      </c>
      <c r="B45" s="20">
        <v>115</v>
      </c>
      <c r="C45" s="20">
        <v>1380</v>
      </c>
      <c r="D45" s="20">
        <v>329</v>
      </c>
      <c r="E45" s="20">
        <v>5.6</v>
      </c>
      <c r="F45" s="20">
        <v>14.8</v>
      </c>
      <c r="G45" s="20">
        <v>8.6</v>
      </c>
      <c r="H45" s="20">
        <v>42.2</v>
      </c>
      <c r="I45" s="20">
        <v>14.3</v>
      </c>
      <c r="J45" s="20">
        <v>0</v>
      </c>
      <c r="K45" s="20">
        <v>344</v>
      </c>
    </row>
    <row r="46" spans="1:11" ht="15.5" x14ac:dyDescent="0.3">
      <c r="A46" s="11" t="s">
        <v>139</v>
      </c>
      <c r="B46" s="20">
        <v>115</v>
      </c>
      <c r="C46" s="20">
        <v>1420</v>
      </c>
      <c r="D46" s="20">
        <v>338</v>
      </c>
      <c r="E46" s="20">
        <v>5.9</v>
      </c>
      <c r="F46" s="20">
        <v>36.200000000000003</v>
      </c>
      <c r="G46" s="20">
        <v>9.1</v>
      </c>
      <c r="H46" s="20">
        <v>43.1</v>
      </c>
      <c r="I46" s="20">
        <v>13.2</v>
      </c>
      <c r="J46" s="20">
        <v>0</v>
      </c>
      <c r="K46" s="20">
        <v>337</v>
      </c>
    </row>
  </sheetData>
  <mergeCells count="2">
    <mergeCell ref="B2:K2"/>
    <mergeCell ref="B25:K2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622D0-EA59-4F61-93A9-1E564CB8ED56}">
  <sheetPr codeName="Sheet5"/>
  <dimension ref="A1:K80"/>
  <sheetViews>
    <sheetView zoomScaleNormal="124" workbookViewId="0">
      <selection activeCell="A10" sqref="A10"/>
    </sheetView>
  </sheetViews>
  <sheetFormatPr defaultRowHeight="15.5" x14ac:dyDescent="0.3"/>
  <cols>
    <col min="1" max="1" width="120.09765625" style="10" bestFit="1" customWidth="1"/>
    <col min="2" max="2" width="15.59765625" style="10" bestFit="1" customWidth="1"/>
    <col min="3" max="3" width="11.3984375" style="10" bestFit="1" customWidth="1"/>
    <col min="4" max="4" width="13.5" style="10" bestFit="1" customWidth="1"/>
    <col min="5" max="5" width="11.296875" style="10" bestFit="1" customWidth="1"/>
    <col min="6" max="6" width="13.3984375" style="10" bestFit="1" customWidth="1"/>
    <col min="7" max="7" width="11.3984375" style="10" bestFit="1" customWidth="1"/>
    <col min="8" max="8" width="18.796875" style="10" bestFit="1" customWidth="1"/>
    <col min="9" max="9" width="10.5" style="10" bestFit="1" customWidth="1"/>
    <col min="10" max="10" width="16.796875" style="10" bestFit="1" customWidth="1"/>
    <col min="11" max="11" width="13.3984375" style="10" bestFit="1" customWidth="1"/>
    <col min="12" max="16384" width="8.796875" style="10"/>
  </cols>
  <sheetData>
    <row r="1" spans="1:11" x14ac:dyDescent="0.3">
      <c r="A1" s="17" t="s">
        <v>208</v>
      </c>
      <c r="B1" s="17" t="s">
        <v>140</v>
      </c>
      <c r="C1" s="17" t="s">
        <v>141</v>
      </c>
      <c r="D1" s="17" t="s">
        <v>142</v>
      </c>
      <c r="E1" s="17" t="s">
        <v>143</v>
      </c>
      <c r="F1" s="17" t="s">
        <v>144</v>
      </c>
      <c r="G1" s="17" t="s">
        <v>145</v>
      </c>
      <c r="H1" s="17" t="s">
        <v>146</v>
      </c>
      <c r="I1" s="17" t="s">
        <v>147</v>
      </c>
      <c r="J1" s="17" t="s">
        <v>148</v>
      </c>
      <c r="K1" s="17" t="s">
        <v>149</v>
      </c>
    </row>
    <row r="2" spans="1:11" x14ac:dyDescent="0.3">
      <c r="A2" s="16" t="s">
        <v>310</v>
      </c>
      <c r="B2" s="18"/>
      <c r="C2" s="18"/>
      <c r="D2" s="18"/>
      <c r="E2" s="18"/>
      <c r="F2" s="18"/>
      <c r="G2" s="18"/>
      <c r="H2" s="18"/>
      <c r="I2" s="18"/>
      <c r="J2" s="18"/>
      <c r="K2" s="18"/>
    </row>
    <row r="3" spans="1:11" x14ac:dyDescent="0.3">
      <c r="A3" s="10" t="s">
        <v>365</v>
      </c>
      <c r="B3" s="21">
        <v>120</v>
      </c>
      <c r="C3" s="21">
        <v>370</v>
      </c>
      <c r="D3" s="21">
        <v>88.4</v>
      </c>
      <c r="E3" s="21">
        <v>0.4</v>
      </c>
      <c r="F3" s="21">
        <v>0.2</v>
      </c>
      <c r="G3" s="21">
        <v>0</v>
      </c>
      <c r="H3" s="21">
        <v>20.3</v>
      </c>
      <c r="I3" s="21">
        <v>18.399999999999999</v>
      </c>
      <c r="J3" s="21">
        <v>1.1000000000000001</v>
      </c>
      <c r="K3" s="21">
        <v>20</v>
      </c>
    </row>
    <row r="4" spans="1:11" x14ac:dyDescent="0.3">
      <c r="A4" s="10" t="s">
        <v>366</v>
      </c>
      <c r="B4" s="21">
        <v>120</v>
      </c>
      <c r="C4" s="21">
        <v>340</v>
      </c>
      <c r="D4" s="21">
        <v>81.3</v>
      </c>
      <c r="E4" s="21">
        <v>0.1</v>
      </c>
      <c r="F4" s="21">
        <v>0.4</v>
      </c>
      <c r="G4" s="21">
        <v>0.1</v>
      </c>
      <c r="H4" s="21">
        <v>18.399999999999999</v>
      </c>
      <c r="I4" s="21">
        <v>16.3</v>
      </c>
      <c r="J4" s="21">
        <v>1.6</v>
      </c>
      <c r="K4" s="21">
        <v>5</v>
      </c>
    </row>
    <row r="5" spans="1:11" x14ac:dyDescent="0.3">
      <c r="A5" s="10" t="s">
        <v>367</v>
      </c>
      <c r="B5" s="21">
        <v>120</v>
      </c>
      <c r="C5" s="21">
        <v>340</v>
      </c>
      <c r="D5" s="21">
        <v>81.3</v>
      </c>
      <c r="E5" s="21">
        <v>0.1</v>
      </c>
      <c r="F5" s="21">
        <v>0.4</v>
      </c>
      <c r="G5" s="21">
        <v>0.1</v>
      </c>
      <c r="H5" s="21">
        <v>18.2</v>
      </c>
      <c r="I5" s="21">
        <v>16.100000000000001</v>
      </c>
      <c r="J5" s="21">
        <v>1.4</v>
      </c>
      <c r="K5" s="21">
        <v>5</v>
      </c>
    </row>
    <row r="6" spans="1:11" x14ac:dyDescent="0.3">
      <c r="A6" s="16" t="s">
        <v>160</v>
      </c>
      <c r="B6" s="404"/>
      <c r="C6" s="404"/>
      <c r="D6" s="404"/>
      <c r="E6" s="404"/>
      <c r="F6" s="404"/>
      <c r="G6" s="404"/>
      <c r="H6" s="404"/>
      <c r="I6" s="404"/>
      <c r="J6" s="404"/>
      <c r="K6" s="404"/>
    </row>
    <row r="7" spans="1:11" x14ac:dyDescent="0.3">
      <c r="A7" s="10" t="s">
        <v>161</v>
      </c>
      <c r="B7" s="21">
        <v>69</v>
      </c>
      <c r="C7" s="21">
        <v>814</v>
      </c>
      <c r="D7" s="21">
        <v>195</v>
      </c>
      <c r="E7" s="21">
        <v>7.5</v>
      </c>
      <c r="F7" s="21">
        <v>2.1</v>
      </c>
      <c r="G7" s="21">
        <v>0.3</v>
      </c>
      <c r="H7" s="21">
        <v>35</v>
      </c>
      <c r="I7" s="21">
        <v>2.6</v>
      </c>
      <c r="J7" s="21">
        <v>2.7</v>
      </c>
      <c r="K7" s="21">
        <v>271</v>
      </c>
    </row>
    <row r="8" spans="1:11" x14ac:dyDescent="0.3">
      <c r="A8" s="10" t="s">
        <v>162</v>
      </c>
      <c r="B8" s="21">
        <v>67</v>
      </c>
      <c r="C8" s="21">
        <v>817</v>
      </c>
      <c r="D8" s="21">
        <v>195</v>
      </c>
      <c r="E8" s="21">
        <v>7.4</v>
      </c>
      <c r="F8" s="21">
        <v>2.1</v>
      </c>
      <c r="G8" s="21">
        <v>0.3</v>
      </c>
      <c r="H8" s="21">
        <v>35.200000000000003</v>
      </c>
      <c r="I8" s="21">
        <v>2.7</v>
      </c>
      <c r="J8" s="21">
        <v>1.8</v>
      </c>
      <c r="K8" s="21">
        <v>239</v>
      </c>
    </row>
    <row r="9" spans="1:11" x14ac:dyDescent="0.3">
      <c r="A9" s="10" t="s">
        <v>163</v>
      </c>
      <c r="B9" s="21">
        <v>79</v>
      </c>
      <c r="C9" s="21">
        <v>1020</v>
      </c>
      <c r="D9" s="21">
        <v>244</v>
      </c>
      <c r="E9" s="21">
        <v>10.6</v>
      </c>
      <c r="F9" s="21">
        <v>4.5</v>
      </c>
      <c r="G9" s="21">
        <v>0.7</v>
      </c>
      <c r="H9" s="21">
        <v>37.799999999999997</v>
      </c>
      <c r="I9" s="21">
        <v>2.6</v>
      </c>
      <c r="J9" s="21">
        <v>4.7</v>
      </c>
      <c r="K9" s="21">
        <v>364</v>
      </c>
    </row>
    <row r="10" spans="1:11" x14ac:dyDescent="0.3">
      <c r="A10" s="10" t="s">
        <v>164</v>
      </c>
      <c r="B10" s="21">
        <v>78.400000000000006</v>
      </c>
      <c r="C10" s="21">
        <v>976</v>
      </c>
      <c r="D10" s="21">
        <v>233</v>
      </c>
      <c r="E10" s="21">
        <v>9.4</v>
      </c>
      <c r="F10" s="21">
        <v>4.5</v>
      </c>
      <c r="G10" s="21">
        <v>2</v>
      </c>
      <c r="H10" s="21">
        <v>37.4</v>
      </c>
      <c r="I10" s="21">
        <v>2.8</v>
      </c>
      <c r="J10" s="21">
        <v>2.1</v>
      </c>
      <c r="K10" s="21">
        <v>424</v>
      </c>
    </row>
    <row r="11" spans="1:11" x14ac:dyDescent="0.3">
      <c r="A11" s="10" t="s">
        <v>165</v>
      </c>
      <c r="B11" s="21">
        <v>77.599999999999994</v>
      </c>
      <c r="C11" s="21">
        <v>954</v>
      </c>
      <c r="D11" s="21">
        <v>228</v>
      </c>
      <c r="E11" s="21">
        <v>7.9</v>
      </c>
      <c r="F11" s="21">
        <v>2.2999999999999998</v>
      </c>
      <c r="G11" s="21">
        <v>0.4</v>
      </c>
      <c r="H11" s="21">
        <v>42.2</v>
      </c>
      <c r="I11" s="21">
        <v>5.0999999999999996</v>
      </c>
      <c r="J11" s="21">
        <v>2.1</v>
      </c>
      <c r="K11" s="21">
        <v>867</v>
      </c>
    </row>
    <row r="12" spans="1:11" x14ac:dyDescent="0.3">
      <c r="A12" s="10" t="s">
        <v>166</v>
      </c>
      <c r="B12" s="21">
        <v>46</v>
      </c>
      <c r="C12" s="21">
        <v>542</v>
      </c>
      <c r="D12" s="21">
        <v>130</v>
      </c>
      <c r="E12" s="21">
        <v>5</v>
      </c>
      <c r="F12" s="21">
        <v>1.4</v>
      </c>
      <c r="G12" s="21">
        <v>0.2</v>
      </c>
      <c r="H12" s="21">
        <v>23.3</v>
      </c>
      <c r="I12" s="21">
        <v>1.7</v>
      </c>
      <c r="J12" s="21">
        <v>1.8</v>
      </c>
      <c r="K12" s="21">
        <v>181</v>
      </c>
    </row>
    <row r="13" spans="1:11" x14ac:dyDescent="0.3">
      <c r="A13" s="10" t="s">
        <v>167</v>
      </c>
      <c r="B13" s="21">
        <v>44.7</v>
      </c>
      <c r="C13" s="21">
        <v>545</v>
      </c>
      <c r="D13" s="21">
        <v>130</v>
      </c>
      <c r="E13" s="21">
        <v>5</v>
      </c>
      <c r="F13" s="21">
        <v>1.4</v>
      </c>
      <c r="G13" s="21">
        <v>0.2</v>
      </c>
      <c r="H13" s="21">
        <v>23.5</v>
      </c>
      <c r="I13" s="21">
        <v>1.8</v>
      </c>
      <c r="J13" s="21">
        <v>1.2</v>
      </c>
      <c r="K13" s="21">
        <v>159</v>
      </c>
    </row>
    <row r="14" spans="1:11" x14ac:dyDescent="0.3">
      <c r="A14" s="10" t="s">
        <v>168</v>
      </c>
      <c r="B14" s="21">
        <v>70</v>
      </c>
      <c r="C14" s="21">
        <v>833</v>
      </c>
      <c r="D14" s="21">
        <v>199</v>
      </c>
      <c r="E14" s="21">
        <v>6</v>
      </c>
      <c r="F14" s="21">
        <v>4.8</v>
      </c>
      <c r="G14" s="21">
        <v>0.6</v>
      </c>
      <c r="H14" s="21">
        <v>32.1</v>
      </c>
      <c r="I14" s="21">
        <v>1.7</v>
      </c>
      <c r="J14" s="21">
        <v>6</v>
      </c>
      <c r="K14" s="21">
        <v>259</v>
      </c>
    </row>
    <row r="15" spans="1:11" x14ac:dyDescent="0.3">
      <c r="A15" s="10" t="s">
        <v>169</v>
      </c>
      <c r="B15" s="21">
        <v>85</v>
      </c>
      <c r="C15" s="21">
        <v>876</v>
      </c>
      <c r="D15" s="21">
        <v>209</v>
      </c>
      <c r="E15" s="21">
        <v>4.2</v>
      </c>
      <c r="F15" s="21">
        <v>4.5999999999999996</v>
      </c>
      <c r="G15" s="21">
        <v>0.6</v>
      </c>
      <c r="H15" s="21">
        <v>35.6</v>
      </c>
      <c r="I15" s="21">
        <v>1.4</v>
      </c>
      <c r="J15" s="21">
        <v>3.8</v>
      </c>
      <c r="K15" s="21">
        <v>310</v>
      </c>
    </row>
    <row r="16" spans="1:11" x14ac:dyDescent="0.3">
      <c r="A16" s="16" t="s">
        <v>216</v>
      </c>
      <c r="B16" s="404"/>
      <c r="C16" s="404"/>
      <c r="D16" s="404"/>
      <c r="E16" s="404"/>
      <c r="F16" s="404"/>
      <c r="G16" s="404"/>
      <c r="H16" s="404"/>
      <c r="I16" s="404"/>
      <c r="J16" s="404"/>
      <c r="K16" s="404"/>
    </row>
    <row r="17" spans="1:11" x14ac:dyDescent="0.3">
      <c r="A17" s="10" t="s">
        <v>353</v>
      </c>
      <c r="B17" s="21">
        <v>8.8000000000000007</v>
      </c>
      <c r="C17" s="21">
        <v>187</v>
      </c>
      <c r="D17" s="21">
        <v>44.8</v>
      </c>
      <c r="E17" s="21">
        <v>3.3</v>
      </c>
      <c r="F17" s="21">
        <v>3.3</v>
      </c>
      <c r="G17" s="21">
        <v>1.5</v>
      </c>
      <c r="H17" s="21">
        <v>0.1</v>
      </c>
      <c r="I17" s="21">
        <v>0.1</v>
      </c>
      <c r="J17" s="21">
        <v>0</v>
      </c>
      <c r="K17" s="21">
        <v>198</v>
      </c>
    </row>
    <row r="18" spans="1:11" x14ac:dyDescent="0.3">
      <c r="A18" s="10" t="s">
        <v>119</v>
      </c>
      <c r="B18" s="21">
        <v>85</v>
      </c>
      <c r="C18" s="21">
        <v>351</v>
      </c>
      <c r="D18" s="21">
        <v>83.9</v>
      </c>
      <c r="E18" s="21">
        <v>14.7</v>
      </c>
      <c r="F18" s="21">
        <v>1.8</v>
      </c>
      <c r="G18" s="21">
        <v>0.6</v>
      </c>
      <c r="H18" s="21">
        <v>3.5</v>
      </c>
      <c r="I18" s="21">
        <v>2.8</v>
      </c>
      <c r="J18" s="21">
        <v>1</v>
      </c>
      <c r="K18" s="21">
        <v>850</v>
      </c>
    </row>
    <row r="19" spans="1:11" x14ac:dyDescent="0.3">
      <c r="A19" s="10" t="s">
        <v>120</v>
      </c>
      <c r="B19" s="21">
        <v>60</v>
      </c>
      <c r="C19" s="21">
        <v>529</v>
      </c>
      <c r="D19" s="21">
        <v>126</v>
      </c>
      <c r="E19" s="21">
        <v>9.5</v>
      </c>
      <c r="F19" s="21">
        <v>8</v>
      </c>
      <c r="G19" s="21">
        <v>1.7</v>
      </c>
      <c r="H19" s="21">
        <v>3.3</v>
      </c>
      <c r="I19" s="21">
        <v>0.4</v>
      </c>
      <c r="J19" s="21">
        <v>0</v>
      </c>
      <c r="K19" s="21">
        <v>390</v>
      </c>
    </row>
    <row r="20" spans="1:11" x14ac:dyDescent="0.3">
      <c r="A20" s="10" t="s">
        <v>121</v>
      </c>
      <c r="B20" s="21">
        <v>64</v>
      </c>
      <c r="C20" s="21">
        <v>285</v>
      </c>
      <c r="D20" s="21">
        <v>68.2</v>
      </c>
      <c r="E20" s="21">
        <v>14.4</v>
      </c>
      <c r="F20" s="21">
        <v>1.7</v>
      </c>
      <c r="G20" s="21">
        <v>0.6</v>
      </c>
      <c r="H20" s="21">
        <v>0.6</v>
      </c>
      <c r="I20" s="21">
        <v>0.5</v>
      </c>
      <c r="J20" s="21">
        <v>0.9</v>
      </c>
      <c r="K20" s="21">
        <v>269</v>
      </c>
    </row>
    <row r="21" spans="1:11" x14ac:dyDescent="0.3">
      <c r="A21" s="10" t="s">
        <v>122</v>
      </c>
      <c r="B21" s="21">
        <v>85</v>
      </c>
      <c r="C21" s="21">
        <v>421</v>
      </c>
      <c r="D21" s="21">
        <v>101</v>
      </c>
      <c r="E21" s="21">
        <v>14.5</v>
      </c>
      <c r="F21" s="21">
        <v>1.8</v>
      </c>
      <c r="G21" s="21">
        <v>0.6</v>
      </c>
      <c r="H21" s="21">
        <v>8</v>
      </c>
      <c r="I21" s="21">
        <v>4.8</v>
      </c>
      <c r="J21" s="21">
        <v>0.9</v>
      </c>
      <c r="K21" s="21">
        <v>463</v>
      </c>
    </row>
    <row r="22" spans="1:11" x14ac:dyDescent="0.3">
      <c r="A22" s="10" t="s">
        <v>171</v>
      </c>
      <c r="B22" s="21">
        <v>59</v>
      </c>
      <c r="C22" s="21">
        <v>326</v>
      </c>
      <c r="D22" s="21">
        <v>77.8</v>
      </c>
      <c r="E22" s="21">
        <v>7.5</v>
      </c>
      <c r="F22" s="21">
        <v>5.3</v>
      </c>
      <c r="G22" s="21">
        <v>1.8</v>
      </c>
      <c r="H22" s="21">
        <v>0.2</v>
      </c>
      <c r="I22" s="21">
        <v>0.2</v>
      </c>
      <c r="J22" s="21">
        <v>0</v>
      </c>
      <c r="K22" s="21">
        <v>139</v>
      </c>
    </row>
    <row r="23" spans="1:11" x14ac:dyDescent="0.3">
      <c r="A23" s="10" t="s">
        <v>123</v>
      </c>
      <c r="B23" s="21">
        <v>40</v>
      </c>
      <c r="C23" s="21">
        <v>167</v>
      </c>
      <c r="D23" s="21">
        <v>39.9</v>
      </c>
      <c r="E23" s="21">
        <v>7</v>
      </c>
      <c r="F23" s="21">
        <v>1.2</v>
      </c>
      <c r="G23" s="21">
        <v>0.4</v>
      </c>
      <c r="H23" s="21">
        <v>0.6</v>
      </c>
      <c r="I23" s="21">
        <v>0.6</v>
      </c>
      <c r="J23" s="21">
        <v>0</v>
      </c>
      <c r="K23" s="21">
        <v>440</v>
      </c>
    </row>
    <row r="24" spans="1:11" x14ac:dyDescent="0.3">
      <c r="A24" s="10" t="s">
        <v>172</v>
      </c>
      <c r="B24" s="21">
        <v>125</v>
      </c>
      <c r="C24" s="21">
        <v>654</v>
      </c>
      <c r="D24" s="21">
        <v>156</v>
      </c>
      <c r="E24" s="21">
        <v>10.4</v>
      </c>
      <c r="F24" s="21">
        <v>7.2</v>
      </c>
      <c r="G24" s="21">
        <v>3</v>
      </c>
      <c r="H24" s="21">
        <v>9.8000000000000007</v>
      </c>
      <c r="I24" s="21">
        <v>5.0999999999999996</v>
      </c>
      <c r="J24" s="21">
        <v>1.5</v>
      </c>
      <c r="K24" s="21">
        <v>476</v>
      </c>
    </row>
    <row r="25" spans="1:11" x14ac:dyDescent="0.3">
      <c r="A25" s="10" t="s">
        <v>173</v>
      </c>
      <c r="B25" s="21">
        <v>18</v>
      </c>
      <c r="C25" s="21">
        <v>297</v>
      </c>
      <c r="D25" s="21">
        <v>71</v>
      </c>
      <c r="E25" s="21">
        <v>4.0999999999999996</v>
      </c>
      <c r="F25" s="21">
        <v>5.9</v>
      </c>
      <c r="G25" s="21">
        <v>2.2999999999999998</v>
      </c>
      <c r="H25" s="21">
        <v>0.6</v>
      </c>
      <c r="I25" s="21">
        <v>0.2</v>
      </c>
      <c r="J25" s="21">
        <v>0</v>
      </c>
      <c r="K25" s="21">
        <v>270</v>
      </c>
    </row>
    <row r="26" spans="1:11" x14ac:dyDescent="0.3">
      <c r="A26" s="10" t="s">
        <v>174</v>
      </c>
      <c r="B26" s="21">
        <v>77</v>
      </c>
      <c r="C26" s="21">
        <v>886</v>
      </c>
      <c r="D26" s="21">
        <v>212</v>
      </c>
      <c r="E26" s="21">
        <v>11.4</v>
      </c>
      <c r="F26" s="21">
        <v>17.5</v>
      </c>
      <c r="G26" s="21">
        <v>6.1</v>
      </c>
      <c r="H26" s="21">
        <v>2.2999999999999998</v>
      </c>
      <c r="I26" s="21">
        <v>0.2</v>
      </c>
      <c r="J26" s="21">
        <v>0.9</v>
      </c>
      <c r="K26" s="21">
        <v>601</v>
      </c>
    </row>
    <row r="27" spans="1:11" x14ac:dyDescent="0.3">
      <c r="A27" s="10" t="s">
        <v>125</v>
      </c>
      <c r="B27" s="21">
        <v>48</v>
      </c>
      <c r="C27" s="21">
        <v>229</v>
      </c>
      <c r="D27" s="21">
        <v>54.8</v>
      </c>
      <c r="E27" s="21">
        <v>8.3000000000000007</v>
      </c>
      <c r="F27" s="21">
        <v>1.5</v>
      </c>
      <c r="G27" s="21">
        <v>0.7</v>
      </c>
      <c r="H27" s="21">
        <v>1.2</v>
      </c>
      <c r="I27" s="21">
        <v>1</v>
      </c>
      <c r="J27" s="21">
        <v>0</v>
      </c>
      <c r="K27" s="21">
        <v>261</v>
      </c>
    </row>
    <row r="28" spans="1:11" x14ac:dyDescent="0.3">
      <c r="A28" s="10" t="s">
        <v>175</v>
      </c>
      <c r="B28" s="21">
        <v>18</v>
      </c>
      <c r="C28" s="21">
        <v>297</v>
      </c>
      <c r="D28" s="21">
        <v>71</v>
      </c>
      <c r="E28" s="21">
        <v>4.0999999999999996</v>
      </c>
      <c r="F28" s="21">
        <v>5.9</v>
      </c>
      <c r="G28" s="21">
        <v>2.2999999999999998</v>
      </c>
      <c r="H28" s="21">
        <v>0.6</v>
      </c>
      <c r="I28" s="21">
        <v>0.2</v>
      </c>
      <c r="J28" s="21">
        <v>0</v>
      </c>
      <c r="K28" s="21">
        <v>270</v>
      </c>
    </row>
    <row r="29" spans="1:11" x14ac:dyDescent="0.3">
      <c r="A29" s="10" t="s">
        <v>126</v>
      </c>
      <c r="B29" s="21">
        <v>75</v>
      </c>
      <c r="C29" s="21">
        <v>682</v>
      </c>
      <c r="D29" s="21">
        <v>163</v>
      </c>
      <c r="E29" s="21">
        <v>6.6</v>
      </c>
      <c r="F29" s="21">
        <v>5.9</v>
      </c>
      <c r="G29" s="21">
        <v>1</v>
      </c>
      <c r="H29" s="21">
        <v>17.600000000000001</v>
      </c>
      <c r="I29" s="21">
        <v>3.8</v>
      </c>
      <c r="J29" s="21">
        <v>3.2</v>
      </c>
      <c r="K29" s="21">
        <v>662</v>
      </c>
    </row>
    <row r="30" spans="1:11" x14ac:dyDescent="0.3">
      <c r="A30" s="10" t="s">
        <v>176</v>
      </c>
      <c r="B30" s="21">
        <v>64</v>
      </c>
      <c r="C30" s="21">
        <v>435</v>
      </c>
      <c r="D30" s="21">
        <v>104</v>
      </c>
      <c r="E30" s="21">
        <v>14.5</v>
      </c>
      <c r="F30" s="21">
        <v>4.5</v>
      </c>
      <c r="G30" s="21">
        <v>2</v>
      </c>
      <c r="H30" s="21">
        <v>0.6</v>
      </c>
      <c r="I30" s="21">
        <v>0.5</v>
      </c>
      <c r="J30" s="21">
        <v>0</v>
      </c>
      <c r="K30" s="21">
        <v>358</v>
      </c>
    </row>
    <row r="31" spans="1:11" x14ac:dyDescent="0.3">
      <c r="A31" s="10" t="s">
        <v>127</v>
      </c>
      <c r="B31" s="21">
        <v>105</v>
      </c>
      <c r="C31" s="21">
        <v>899</v>
      </c>
      <c r="D31" s="21">
        <v>215</v>
      </c>
      <c r="E31" s="21">
        <v>20.8</v>
      </c>
      <c r="F31" s="21">
        <v>11.8</v>
      </c>
      <c r="G31" s="21">
        <v>2</v>
      </c>
      <c r="H31" s="21">
        <v>9.5</v>
      </c>
      <c r="I31" s="21">
        <v>0.7</v>
      </c>
      <c r="J31" s="21">
        <v>0</v>
      </c>
      <c r="K31" s="21">
        <v>609</v>
      </c>
    </row>
    <row r="32" spans="1:11" x14ac:dyDescent="0.3">
      <c r="A32" s="10" t="s">
        <v>345</v>
      </c>
      <c r="B32" s="21">
        <v>64</v>
      </c>
      <c r="C32" s="21">
        <v>315</v>
      </c>
      <c r="D32" s="21">
        <v>75.3</v>
      </c>
      <c r="E32" s="21">
        <v>10.199999999999999</v>
      </c>
      <c r="F32" s="21">
        <v>2.2000000000000002</v>
      </c>
      <c r="G32" s="21">
        <v>0.4</v>
      </c>
      <c r="H32" s="21">
        <v>3.6</v>
      </c>
      <c r="I32" s="21">
        <v>2.4</v>
      </c>
      <c r="J32" s="21">
        <v>0</v>
      </c>
      <c r="K32" s="21">
        <v>271</v>
      </c>
    </row>
    <row r="33" spans="1:11" x14ac:dyDescent="0.3">
      <c r="A33" s="10" t="s">
        <v>129</v>
      </c>
      <c r="B33" s="21">
        <v>54</v>
      </c>
      <c r="C33" s="21">
        <v>240</v>
      </c>
      <c r="D33" s="21">
        <v>57.4</v>
      </c>
      <c r="E33" s="21">
        <v>11.4</v>
      </c>
      <c r="F33" s="21">
        <v>0.5</v>
      </c>
      <c r="G33" s="21">
        <v>0.5</v>
      </c>
      <c r="H33" s="21">
        <v>1.5</v>
      </c>
      <c r="I33" s="21">
        <v>0.5</v>
      </c>
      <c r="J33" s="21">
        <v>0</v>
      </c>
      <c r="K33" s="21">
        <v>359</v>
      </c>
    </row>
    <row r="34" spans="1:11" x14ac:dyDescent="0.3">
      <c r="A34" s="10" t="s">
        <v>131</v>
      </c>
      <c r="B34" s="21">
        <v>90</v>
      </c>
      <c r="C34" s="21">
        <v>803</v>
      </c>
      <c r="D34" s="21">
        <v>191.9</v>
      </c>
      <c r="E34" s="21">
        <v>7.6</v>
      </c>
      <c r="F34" s="21">
        <v>9.4</v>
      </c>
      <c r="G34" s="21">
        <v>1.8</v>
      </c>
      <c r="H34" s="21">
        <v>16.5</v>
      </c>
      <c r="I34" s="21">
        <v>2.5</v>
      </c>
      <c r="J34" s="21">
        <v>6.2</v>
      </c>
      <c r="K34" s="21">
        <v>324</v>
      </c>
    </row>
    <row r="35" spans="1:11" x14ac:dyDescent="0.3">
      <c r="A35" s="16" t="s">
        <v>215</v>
      </c>
      <c r="B35" s="404"/>
      <c r="C35" s="404"/>
      <c r="D35" s="404"/>
      <c r="E35" s="404"/>
      <c r="F35" s="404"/>
      <c r="G35" s="404"/>
      <c r="H35" s="404"/>
      <c r="I35" s="404"/>
      <c r="J35" s="404"/>
      <c r="K35" s="404"/>
    </row>
    <row r="36" spans="1:11" x14ac:dyDescent="0.3">
      <c r="A36" s="10" t="s">
        <v>177</v>
      </c>
      <c r="B36" s="21">
        <v>15</v>
      </c>
      <c r="C36" s="21">
        <v>268</v>
      </c>
      <c r="D36" s="21">
        <v>64.2</v>
      </c>
      <c r="E36" s="21">
        <v>0.3</v>
      </c>
      <c r="F36" s="21">
        <v>6.5</v>
      </c>
      <c r="G36" s="21">
        <v>0.6</v>
      </c>
      <c r="H36" s="21">
        <v>1.3</v>
      </c>
      <c r="I36" s="21">
        <v>0.8</v>
      </c>
      <c r="J36" s="21">
        <v>0.1</v>
      </c>
      <c r="K36" s="21">
        <v>180</v>
      </c>
    </row>
    <row r="37" spans="1:11" x14ac:dyDescent="0.3">
      <c r="A37" s="10" t="s">
        <v>178</v>
      </c>
      <c r="B37" s="21">
        <v>21</v>
      </c>
      <c r="C37" s="21">
        <v>389</v>
      </c>
      <c r="D37" s="21">
        <v>92.9</v>
      </c>
      <c r="E37" s="21">
        <v>0.6</v>
      </c>
      <c r="F37" s="21">
        <v>10.1</v>
      </c>
      <c r="G37" s="21">
        <v>1.6</v>
      </c>
      <c r="H37" s="21">
        <v>1.2</v>
      </c>
      <c r="I37" s="21">
        <v>0.9</v>
      </c>
      <c r="J37" s="21">
        <v>0</v>
      </c>
      <c r="K37" s="21">
        <v>134</v>
      </c>
    </row>
    <row r="38" spans="1:11" x14ac:dyDescent="0.3">
      <c r="A38" s="10" t="s">
        <v>179</v>
      </c>
      <c r="B38" s="21">
        <v>21</v>
      </c>
      <c r="C38" s="21">
        <v>246</v>
      </c>
      <c r="D38" s="21">
        <v>58.7</v>
      </c>
      <c r="E38" s="21">
        <v>0.3</v>
      </c>
      <c r="F38" s="21">
        <v>5.8</v>
      </c>
      <c r="G38" s="21">
        <v>0.9</v>
      </c>
      <c r="H38" s="21">
        <v>1.6</v>
      </c>
      <c r="I38" s="21">
        <v>1</v>
      </c>
      <c r="J38" s="21">
        <v>0</v>
      </c>
      <c r="K38" s="21">
        <v>187</v>
      </c>
    </row>
    <row r="39" spans="1:11" x14ac:dyDescent="0.3">
      <c r="A39" s="10" t="s">
        <v>180</v>
      </c>
      <c r="B39" s="21">
        <v>15</v>
      </c>
      <c r="C39" s="21">
        <v>82.5</v>
      </c>
      <c r="D39" s="21">
        <v>19.7</v>
      </c>
      <c r="E39" s="21">
        <v>0.1</v>
      </c>
      <c r="F39" s="21">
        <v>0</v>
      </c>
      <c r="G39" s="21">
        <v>0</v>
      </c>
      <c r="H39" s="21">
        <v>4.5999999999999996</v>
      </c>
      <c r="I39" s="21">
        <v>3.7</v>
      </c>
      <c r="J39" s="21">
        <v>0.1</v>
      </c>
      <c r="K39" s="21">
        <v>320</v>
      </c>
    </row>
    <row r="40" spans="1:11" x14ac:dyDescent="0.3">
      <c r="A40" s="10" t="s">
        <v>181</v>
      </c>
      <c r="B40" s="21">
        <v>21</v>
      </c>
      <c r="C40" s="21">
        <v>124</v>
      </c>
      <c r="D40" s="21">
        <v>29.6</v>
      </c>
      <c r="E40" s="21">
        <v>0.3</v>
      </c>
      <c r="F40" s="21">
        <v>0.3</v>
      </c>
      <c r="G40" s="21">
        <v>0</v>
      </c>
      <c r="H40" s="21">
        <v>6.5</v>
      </c>
      <c r="I40" s="21">
        <v>4.4000000000000004</v>
      </c>
      <c r="J40" s="21">
        <v>0</v>
      </c>
      <c r="K40" s="21">
        <v>94.5</v>
      </c>
    </row>
    <row r="41" spans="1:11" x14ac:dyDescent="0.3">
      <c r="A41" s="10" t="s">
        <v>182</v>
      </c>
      <c r="B41" s="21">
        <v>21</v>
      </c>
      <c r="C41" s="21">
        <v>59.9</v>
      </c>
      <c r="D41" s="21">
        <v>14.3</v>
      </c>
      <c r="E41" s="21">
        <v>0.3</v>
      </c>
      <c r="F41" s="21">
        <v>0.5</v>
      </c>
      <c r="G41" s="21">
        <v>0.1</v>
      </c>
      <c r="H41" s="21">
        <v>1.8</v>
      </c>
      <c r="I41" s="21">
        <v>1.4</v>
      </c>
      <c r="J41" s="21">
        <v>0.5</v>
      </c>
      <c r="K41" s="21">
        <v>70.400000000000006</v>
      </c>
    </row>
    <row r="42" spans="1:11" x14ac:dyDescent="0.3">
      <c r="A42" s="10" t="s">
        <v>183</v>
      </c>
      <c r="B42" s="21">
        <v>15</v>
      </c>
      <c r="C42" s="21">
        <v>86.1</v>
      </c>
      <c r="D42" s="21">
        <v>20.6</v>
      </c>
      <c r="E42" s="21">
        <v>0.1</v>
      </c>
      <c r="F42" s="21">
        <v>1.2</v>
      </c>
      <c r="G42" s="21">
        <v>0.2</v>
      </c>
      <c r="H42" s="21">
        <v>2.2999999999999998</v>
      </c>
      <c r="I42" s="21">
        <v>1.5</v>
      </c>
      <c r="J42" s="21">
        <v>0</v>
      </c>
      <c r="K42" s="21">
        <v>79.5</v>
      </c>
    </row>
    <row r="43" spans="1:11" x14ac:dyDescent="0.3">
      <c r="A43" s="10" t="s">
        <v>184</v>
      </c>
      <c r="B43" s="21">
        <v>21</v>
      </c>
      <c r="C43" s="21">
        <v>386</v>
      </c>
      <c r="D43" s="21">
        <v>92.4</v>
      </c>
      <c r="E43" s="21">
        <v>0.3</v>
      </c>
      <c r="F43" s="21">
        <v>9.6999999999999993</v>
      </c>
      <c r="G43" s="21">
        <v>1.6</v>
      </c>
      <c r="H43" s="21">
        <v>1.3</v>
      </c>
      <c r="I43" s="21">
        <v>0.8</v>
      </c>
      <c r="J43" s="21">
        <v>0.1</v>
      </c>
      <c r="K43" s="21">
        <v>202</v>
      </c>
    </row>
    <row r="44" spans="1:11" x14ac:dyDescent="0.3">
      <c r="A44" s="10" t="s">
        <v>185</v>
      </c>
      <c r="B44" s="21">
        <v>21</v>
      </c>
      <c r="C44" s="21">
        <v>131</v>
      </c>
      <c r="D44" s="21">
        <v>31.3</v>
      </c>
      <c r="E44" s="21">
        <v>0.2</v>
      </c>
      <c r="F44" s="21">
        <v>0.2</v>
      </c>
      <c r="G44" s="21">
        <v>0.2</v>
      </c>
      <c r="H44" s="21">
        <v>7.5</v>
      </c>
      <c r="I44" s="21">
        <v>5.7</v>
      </c>
      <c r="J44" s="21">
        <v>0.2</v>
      </c>
      <c r="K44" s="21">
        <v>172</v>
      </c>
    </row>
    <row r="45" spans="1:11" x14ac:dyDescent="0.3">
      <c r="A45" s="10" t="s">
        <v>186</v>
      </c>
      <c r="B45" s="21">
        <v>15</v>
      </c>
      <c r="C45" s="21">
        <v>157</v>
      </c>
      <c r="D45" s="21">
        <v>37.6</v>
      </c>
      <c r="E45" s="21">
        <v>0.2</v>
      </c>
      <c r="F45" s="21">
        <v>7.4</v>
      </c>
      <c r="G45" s="21">
        <v>0.6</v>
      </c>
      <c r="H45" s="21">
        <v>1.7</v>
      </c>
      <c r="I45" s="21">
        <v>1.4</v>
      </c>
      <c r="J45" s="21">
        <v>0.1</v>
      </c>
      <c r="K45" s="21">
        <v>153</v>
      </c>
    </row>
    <row r="46" spans="1:11" x14ac:dyDescent="0.3">
      <c r="A46" s="10" t="s">
        <v>187</v>
      </c>
      <c r="B46" s="21">
        <v>21</v>
      </c>
      <c r="C46" s="21">
        <v>165</v>
      </c>
      <c r="D46" s="21">
        <v>39.5</v>
      </c>
      <c r="E46" s="21">
        <v>0</v>
      </c>
      <c r="F46" s="21">
        <v>0.1</v>
      </c>
      <c r="G46" s="21">
        <v>0</v>
      </c>
      <c r="H46" s="21">
        <v>9.6</v>
      </c>
      <c r="I46" s="21">
        <v>9.1</v>
      </c>
      <c r="J46" s="21">
        <v>0</v>
      </c>
      <c r="K46" s="21">
        <v>185</v>
      </c>
    </row>
    <row r="47" spans="1:11" x14ac:dyDescent="0.3">
      <c r="A47" s="10" t="s">
        <v>188</v>
      </c>
      <c r="B47" s="21">
        <v>21</v>
      </c>
      <c r="C47" s="21">
        <v>155</v>
      </c>
      <c r="D47" s="21">
        <v>38.6</v>
      </c>
      <c r="E47" s="21">
        <v>0.1</v>
      </c>
      <c r="F47" s="21">
        <v>0.1</v>
      </c>
      <c r="G47" s="21">
        <v>0</v>
      </c>
      <c r="H47" s="21">
        <v>9.1</v>
      </c>
      <c r="I47" s="21">
        <v>7.9</v>
      </c>
      <c r="J47" s="21">
        <v>0.1</v>
      </c>
      <c r="K47" s="21">
        <v>73.5</v>
      </c>
    </row>
    <row r="48" spans="1:11" x14ac:dyDescent="0.3">
      <c r="A48" s="16" t="s">
        <v>214</v>
      </c>
      <c r="B48" s="404"/>
      <c r="C48" s="404"/>
      <c r="D48" s="404"/>
      <c r="E48" s="404"/>
      <c r="F48" s="404"/>
      <c r="G48" s="404"/>
      <c r="H48" s="404"/>
      <c r="I48" s="404"/>
      <c r="J48" s="404"/>
      <c r="K48" s="404"/>
    </row>
    <row r="49" spans="1:11" x14ac:dyDescent="0.3">
      <c r="A49" s="10" t="s">
        <v>355</v>
      </c>
      <c r="B49" s="21">
        <v>11.3</v>
      </c>
      <c r="C49" s="21">
        <v>162</v>
      </c>
      <c r="D49" s="21">
        <v>38.6</v>
      </c>
      <c r="E49" s="21">
        <v>2.2999999999999998</v>
      </c>
      <c r="F49" s="21">
        <v>3.1</v>
      </c>
      <c r="G49" s="21">
        <v>2</v>
      </c>
      <c r="H49" s="21">
        <v>0.5</v>
      </c>
      <c r="I49" s="21">
        <v>0.2</v>
      </c>
      <c r="J49" s="21">
        <v>0</v>
      </c>
      <c r="K49" s="21">
        <v>136</v>
      </c>
    </row>
    <row r="50" spans="1:11" x14ac:dyDescent="0.3">
      <c r="A50" s="10" t="s">
        <v>354</v>
      </c>
      <c r="B50" s="21">
        <v>14.2</v>
      </c>
      <c r="C50" s="21">
        <v>171</v>
      </c>
      <c r="D50" s="21">
        <v>40.9</v>
      </c>
      <c r="E50" s="21">
        <v>3.8</v>
      </c>
      <c r="F50" s="21">
        <v>2.8</v>
      </c>
      <c r="G50" s="21">
        <v>2</v>
      </c>
      <c r="H50" s="21">
        <v>0</v>
      </c>
      <c r="I50" s="21">
        <v>0</v>
      </c>
      <c r="J50" s="21">
        <v>0</v>
      </c>
      <c r="K50" s="21">
        <v>69.599999999999994</v>
      </c>
    </row>
    <row r="51" spans="1:11" x14ac:dyDescent="0.3">
      <c r="A51" s="10" t="s">
        <v>356</v>
      </c>
      <c r="B51" s="21">
        <v>11.3</v>
      </c>
      <c r="C51" s="21">
        <v>159</v>
      </c>
      <c r="D51" s="21">
        <v>38.1</v>
      </c>
      <c r="E51" s="21">
        <v>2.2999999999999998</v>
      </c>
      <c r="F51" s="21">
        <v>3</v>
      </c>
      <c r="G51" s="21">
        <v>2.1</v>
      </c>
      <c r="H51" s="21">
        <v>0.6</v>
      </c>
      <c r="I51" s="21">
        <v>0.3</v>
      </c>
      <c r="J51" s="21">
        <v>0</v>
      </c>
      <c r="K51" s="21">
        <v>215</v>
      </c>
    </row>
    <row r="52" spans="1:11" x14ac:dyDescent="0.3">
      <c r="A52" s="16" t="s">
        <v>213</v>
      </c>
      <c r="B52" s="404"/>
      <c r="C52" s="404"/>
      <c r="D52" s="404"/>
      <c r="E52" s="404"/>
      <c r="F52" s="404"/>
      <c r="G52" s="404"/>
      <c r="H52" s="404"/>
      <c r="I52" s="404"/>
      <c r="J52" s="404"/>
      <c r="K52" s="404"/>
    </row>
    <row r="53" spans="1:11" x14ac:dyDescent="0.3">
      <c r="A53" s="10" t="s">
        <v>190</v>
      </c>
      <c r="B53" s="21">
        <v>35</v>
      </c>
      <c r="C53" s="21">
        <v>244</v>
      </c>
      <c r="D53" s="21">
        <v>58.3</v>
      </c>
      <c r="E53" s="21">
        <v>1.2</v>
      </c>
      <c r="F53" s="21">
        <v>5.3</v>
      </c>
      <c r="G53" s="21">
        <v>0.6</v>
      </c>
      <c r="H53" s="21">
        <v>3.5</v>
      </c>
      <c r="I53" s="21">
        <v>0</v>
      </c>
      <c r="J53" s="21">
        <v>0</v>
      </c>
      <c r="K53" s="21">
        <v>0</v>
      </c>
    </row>
    <row r="54" spans="1:11" x14ac:dyDescent="0.3">
      <c r="A54" s="10" t="s">
        <v>253</v>
      </c>
      <c r="B54" s="21">
        <v>21</v>
      </c>
      <c r="C54" s="21">
        <v>49.3</v>
      </c>
      <c r="D54" s="21">
        <v>11.8</v>
      </c>
      <c r="E54" s="21">
        <v>0.2</v>
      </c>
      <c r="F54" s="21">
        <v>0</v>
      </c>
      <c r="G54" s="21">
        <v>0</v>
      </c>
      <c r="H54" s="21">
        <v>2.5</v>
      </c>
      <c r="I54" s="21">
        <v>2.2999999999999998</v>
      </c>
      <c r="J54" s="21">
        <v>0.5</v>
      </c>
      <c r="K54" s="21">
        <v>52.5</v>
      </c>
    </row>
    <row r="55" spans="1:11" x14ac:dyDescent="0.3">
      <c r="A55" s="10" t="s">
        <v>191</v>
      </c>
      <c r="B55" s="21">
        <v>7</v>
      </c>
      <c r="C55" s="21">
        <v>5.9</v>
      </c>
      <c r="D55" s="21">
        <v>1.4</v>
      </c>
      <c r="E55" s="21">
        <v>0.1</v>
      </c>
      <c r="F55" s="21">
        <v>0</v>
      </c>
      <c r="G55" s="21">
        <v>0</v>
      </c>
      <c r="H55" s="21">
        <v>0.2</v>
      </c>
      <c r="I55" s="21">
        <v>0.2</v>
      </c>
      <c r="J55" s="21">
        <v>0.1</v>
      </c>
      <c r="K55" s="21">
        <v>0.2</v>
      </c>
    </row>
    <row r="56" spans="1:11" x14ac:dyDescent="0.3">
      <c r="A56" s="10" t="s">
        <v>192</v>
      </c>
      <c r="B56" s="21">
        <v>7</v>
      </c>
      <c r="C56" s="21">
        <v>12</v>
      </c>
      <c r="D56" s="21">
        <v>2.9</v>
      </c>
      <c r="E56" s="21">
        <v>0.1</v>
      </c>
      <c r="F56" s="21">
        <v>0</v>
      </c>
      <c r="G56" s="21">
        <v>0</v>
      </c>
      <c r="H56" s="21">
        <v>0.5</v>
      </c>
      <c r="I56" s="21">
        <v>0.3</v>
      </c>
      <c r="J56" s="21">
        <v>0.2</v>
      </c>
      <c r="K56" s="21">
        <v>4.8</v>
      </c>
    </row>
    <row r="57" spans="1:11" x14ac:dyDescent="0.3">
      <c r="A57" s="10" t="s">
        <v>193</v>
      </c>
      <c r="B57" s="21">
        <v>14</v>
      </c>
      <c r="C57" s="21">
        <v>8.8000000000000007</v>
      </c>
      <c r="D57" s="21">
        <v>2.1</v>
      </c>
      <c r="E57" s="21">
        <v>0.1</v>
      </c>
      <c r="F57" s="21">
        <v>0</v>
      </c>
      <c r="G57" s="21">
        <v>0</v>
      </c>
      <c r="H57" s="21">
        <v>0.4</v>
      </c>
      <c r="I57" s="21">
        <v>0.2</v>
      </c>
      <c r="J57" s="21">
        <v>0.1</v>
      </c>
      <c r="K57" s="21">
        <v>0.3</v>
      </c>
    </row>
    <row r="58" spans="1:11" x14ac:dyDescent="0.3">
      <c r="A58" s="10" t="s">
        <v>194</v>
      </c>
      <c r="B58" s="21">
        <v>4</v>
      </c>
      <c r="C58" s="21">
        <v>6.7</v>
      </c>
      <c r="D58" s="21">
        <v>1.6</v>
      </c>
      <c r="E58" s="21">
        <v>0.1</v>
      </c>
      <c r="F58" s="21">
        <v>0</v>
      </c>
      <c r="G58" s="21">
        <v>0</v>
      </c>
      <c r="H58" s="21">
        <v>0.2</v>
      </c>
      <c r="I58" s="21">
        <v>0.2</v>
      </c>
      <c r="J58" s="21">
        <v>0.1</v>
      </c>
      <c r="K58" s="21">
        <v>67.599999999999994</v>
      </c>
    </row>
    <row r="59" spans="1:11" x14ac:dyDescent="0.3">
      <c r="A59" s="10" t="s">
        <v>195</v>
      </c>
      <c r="B59" s="21">
        <v>21</v>
      </c>
      <c r="C59" s="21">
        <v>12.3</v>
      </c>
      <c r="D59" s="21">
        <v>2.9</v>
      </c>
      <c r="E59" s="21">
        <v>0.2</v>
      </c>
      <c r="F59" s="21">
        <v>0</v>
      </c>
      <c r="G59" s="21">
        <v>0</v>
      </c>
      <c r="H59" s="21">
        <v>0.4</v>
      </c>
      <c r="I59" s="21">
        <v>0.4</v>
      </c>
      <c r="J59" s="21">
        <v>0.3</v>
      </c>
      <c r="K59" s="21">
        <v>2.1</v>
      </c>
    </row>
    <row r="60" spans="1:11" x14ac:dyDescent="0.3">
      <c r="A60" s="10" t="s">
        <v>196</v>
      </c>
      <c r="B60" s="21">
        <v>7</v>
      </c>
      <c r="C60" s="21">
        <v>11.7</v>
      </c>
      <c r="D60" s="21">
        <v>2.8</v>
      </c>
      <c r="E60" s="21">
        <v>0.1</v>
      </c>
      <c r="F60" s="21">
        <v>0</v>
      </c>
      <c r="G60" s="21">
        <v>0</v>
      </c>
      <c r="H60" s="21">
        <v>0.5</v>
      </c>
      <c r="I60" s="21">
        <v>0.3</v>
      </c>
      <c r="J60" s="21">
        <v>0.1</v>
      </c>
      <c r="K60" s="21">
        <v>0.3</v>
      </c>
    </row>
    <row r="61" spans="1:11" x14ac:dyDescent="0.3">
      <c r="A61" s="10" t="s">
        <v>197</v>
      </c>
      <c r="B61" s="21">
        <v>3</v>
      </c>
      <c r="C61" s="21">
        <v>16.100000000000001</v>
      </c>
      <c r="D61" s="21">
        <v>3.8</v>
      </c>
      <c r="E61" s="21">
        <v>0</v>
      </c>
      <c r="F61" s="21">
        <v>0.3</v>
      </c>
      <c r="G61" s="21">
        <v>0.1</v>
      </c>
      <c r="H61" s="21">
        <v>0.2</v>
      </c>
      <c r="I61" s="21">
        <v>0</v>
      </c>
      <c r="J61" s="21">
        <v>0.1</v>
      </c>
      <c r="K61" s="21">
        <v>26.4</v>
      </c>
    </row>
    <row r="62" spans="1:11" x14ac:dyDescent="0.3">
      <c r="A62" s="10" t="s">
        <v>198</v>
      </c>
      <c r="B62" s="21">
        <v>9.5</v>
      </c>
      <c r="C62" s="21">
        <v>5.9</v>
      </c>
      <c r="D62" s="21">
        <v>1.4</v>
      </c>
      <c r="E62" s="21">
        <v>0</v>
      </c>
      <c r="F62" s="21">
        <v>0</v>
      </c>
      <c r="G62" s="21">
        <v>0</v>
      </c>
      <c r="H62" s="21">
        <v>0.2</v>
      </c>
      <c r="I62" s="21">
        <v>0</v>
      </c>
      <c r="J62" s="21">
        <v>0.1</v>
      </c>
      <c r="K62" s="21">
        <v>114</v>
      </c>
    </row>
    <row r="63" spans="1:11" x14ac:dyDescent="0.3">
      <c r="A63" s="10" t="s">
        <v>226</v>
      </c>
      <c r="B63" s="21">
        <v>20</v>
      </c>
      <c r="C63" s="21">
        <v>50.2</v>
      </c>
      <c r="D63" s="21">
        <v>12</v>
      </c>
      <c r="E63" s="21">
        <v>0.1</v>
      </c>
      <c r="F63" s="21">
        <v>0</v>
      </c>
      <c r="G63" s="21">
        <v>0</v>
      </c>
      <c r="H63" s="21">
        <v>3.6</v>
      </c>
      <c r="I63" s="21">
        <v>3.2</v>
      </c>
      <c r="J63" s="21">
        <v>0.2</v>
      </c>
      <c r="K63" s="21">
        <v>1.5</v>
      </c>
    </row>
    <row r="64" spans="1:11" x14ac:dyDescent="0.3">
      <c r="A64" s="10" t="s">
        <v>199</v>
      </c>
      <c r="B64" s="21">
        <v>7</v>
      </c>
      <c r="C64" s="21">
        <v>6.4</v>
      </c>
      <c r="D64" s="21">
        <v>1.5</v>
      </c>
      <c r="E64" s="21">
        <v>0.2</v>
      </c>
      <c r="F64" s="21">
        <v>0</v>
      </c>
      <c r="G64" s="21">
        <v>0</v>
      </c>
      <c r="H64" s="21">
        <v>0.2</v>
      </c>
      <c r="I64" s="21">
        <v>0</v>
      </c>
      <c r="J64" s="21">
        <v>0.2</v>
      </c>
      <c r="K64" s="21">
        <v>5.5</v>
      </c>
    </row>
    <row r="65" spans="1:11" x14ac:dyDescent="0.3">
      <c r="A65" s="10" t="s">
        <v>200</v>
      </c>
      <c r="B65" s="21">
        <v>35</v>
      </c>
      <c r="C65" s="21">
        <v>26.4</v>
      </c>
      <c r="D65" s="21">
        <v>6.3</v>
      </c>
      <c r="E65" s="21">
        <v>0.3</v>
      </c>
      <c r="F65" s="21">
        <v>0.1</v>
      </c>
      <c r="G65" s="21">
        <v>0</v>
      </c>
      <c r="H65" s="21">
        <v>0.9</v>
      </c>
      <c r="I65" s="21">
        <v>0.9</v>
      </c>
      <c r="J65" s="21">
        <v>0.4</v>
      </c>
      <c r="K65" s="21">
        <v>1.8</v>
      </c>
    </row>
    <row r="66" spans="1:11" x14ac:dyDescent="0.3">
      <c r="A66" s="16" t="s">
        <v>212</v>
      </c>
      <c r="B66" s="404"/>
      <c r="C66" s="404"/>
      <c r="D66" s="404"/>
      <c r="E66" s="404"/>
      <c r="F66" s="404"/>
      <c r="G66" s="404"/>
      <c r="H66" s="404"/>
      <c r="I66" s="404"/>
      <c r="J66" s="404"/>
      <c r="K66" s="404"/>
    </row>
    <row r="67" spans="1:11" x14ac:dyDescent="0.3">
      <c r="A67" s="10" t="s">
        <v>201</v>
      </c>
      <c r="B67" s="21">
        <v>1</v>
      </c>
      <c r="C67" s="21">
        <v>12.1</v>
      </c>
      <c r="D67" s="21">
        <v>2.9</v>
      </c>
      <c r="E67" s="21">
        <v>0.1</v>
      </c>
      <c r="F67" s="21">
        <v>0</v>
      </c>
      <c r="G67" s="21">
        <v>0</v>
      </c>
      <c r="H67" s="21">
        <v>0.4</v>
      </c>
      <c r="I67" s="21">
        <v>0</v>
      </c>
      <c r="J67" s="21">
        <v>0</v>
      </c>
      <c r="K67" s="21">
        <v>0.3</v>
      </c>
    </row>
    <row r="68" spans="1:11" x14ac:dyDescent="0.3">
      <c r="A68" s="10" t="s">
        <v>202</v>
      </c>
      <c r="B68" s="21">
        <v>1</v>
      </c>
      <c r="C68" s="21">
        <v>0</v>
      </c>
      <c r="D68" s="21">
        <v>0</v>
      </c>
      <c r="E68" s="21">
        <v>0</v>
      </c>
      <c r="F68" s="21">
        <v>0</v>
      </c>
      <c r="G68" s="21">
        <v>0</v>
      </c>
      <c r="H68" s="21">
        <v>0</v>
      </c>
      <c r="I68" s="21">
        <v>0</v>
      </c>
      <c r="J68" s="21">
        <v>0</v>
      </c>
      <c r="K68" s="21">
        <v>391</v>
      </c>
    </row>
    <row r="69" spans="1:11" x14ac:dyDescent="0.3">
      <c r="A69" s="16" t="s">
        <v>203</v>
      </c>
      <c r="B69" s="404"/>
      <c r="C69" s="404"/>
      <c r="D69" s="404"/>
      <c r="E69" s="404"/>
      <c r="F69" s="404"/>
      <c r="G69" s="404"/>
      <c r="H69" s="404"/>
      <c r="I69" s="404"/>
      <c r="J69" s="404"/>
      <c r="K69" s="404"/>
    </row>
    <row r="70" spans="1:11" x14ac:dyDescent="0.3">
      <c r="A70" s="10" t="s">
        <v>204</v>
      </c>
      <c r="B70" s="21">
        <v>425</v>
      </c>
      <c r="C70" s="21">
        <v>931</v>
      </c>
      <c r="D70" s="21">
        <v>223</v>
      </c>
      <c r="E70" s="21">
        <v>2.1</v>
      </c>
      <c r="F70" s="21">
        <v>0.6</v>
      </c>
      <c r="G70" s="21">
        <v>0.2</v>
      </c>
      <c r="H70" s="21">
        <v>55.7</v>
      </c>
      <c r="I70" s="21">
        <v>38.6</v>
      </c>
      <c r="J70" s="21">
        <v>4</v>
      </c>
      <c r="K70" s="21">
        <v>2</v>
      </c>
    </row>
    <row r="71" spans="1:11" x14ac:dyDescent="0.3">
      <c r="A71" s="10" t="s">
        <v>205</v>
      </c>
      <c r="B71" s="21">
        <v>425</v>
      </c>
      <c r="C71" s="21">
        <v>785</v>
      </c>
      <c r="D71" s="21">
        <v>188</v>
      </c>
      <c r="E71" s="21">
        <v>2.2000000000000002</v>
      </c>
      <c r="F71" s="21">
        <v>0.6</v>
      </c>
      <c r="G71" s="21">
        <v>0.2</v>
      </c>
      <c r="H71" s="21">
        <v>46.6</v>
      </c>
      <c r="I71" s="21">
        <v>24.2</v>
      </c>
      <c r="J71" s="21">
        <v>4.2</v>
      </c>
      <c r="K71" s="21">
        <v>26</v>
      </c>
    </row>
    <row r="72" spans="1:11" x14ac:dyDescent="0.3">
      <c r="A72" s="10" t="s">
        <v>206</v>
      </c>
      <c r="B72" s="21">
        <v>425</v>
      </c>
      <c r="C72" s="21">
        <v>846</v>
      </c>
      <c r="D72" s="21">
        <v>202</v>
      </c>
      <c r="E72" s="21">
        <v>1.6</v>
      </c>
      <c r="F72" s="21">
        <v>0.4</v>
      </c>
      <c r="G72" s="21">
        <v>0.2</v>
      </c>
      <c r="H72" s="21">
        <v>50.6</v>
      </c>
      <c r="I72" s="21">
        <v>35.4</v>
      </c>
      <c r="J72" s="21">
        <v>3.3</v>
      </c>
      <c r="K72" s="21">
        <v>2</v>
      </c>
    </row>
    <row r="73" spans="1:11" x14ac:dyDescent="0.3">
      <c r="A73" s="16" t="s">
        <v>210</v>
      </c>
      <c r="B73" s="404"/>
      <c r="C73" s="404"/>
      <c r="D73" s="404"/>
      <c r="E73" s="404"/>
      <c r="F73" s="404"/>
      <c r="G73" s="404"/>
      <c r="H73" s="404"/>
      <c r="I73" s="404"/>
      <c r="J73" s="404"/>
      <c r="K73" s="404"/>
    </row>
    <row r="74" spans="1:11" x14ac:dyDescent="0.3">
      <c r="A74" s="29" t="s">
        <v>241</v>
      </c>
      <c r="B74" s="21">
        <v>208</v>
      </c>
      <c r="C74" s="21">
        <v>1920</v>
      </c>
      <c r="D74" s="21">
        <v>460</v>
      </c>
      <c r="E74" s="21">
        <v>24.1</v>
      </c>
      <c r="F74" s="21">
        <v>14.9</v>
      </c>
      <c r="G74" s="21">
        <v>6.2</v>
      </c>
      <c r="H74" s="21">
        <v>56</v>
      </c>
      <c r="I74" s="21">
        <v>15.6</v>
      </c>
      <c r="J74" s="21">
        <v>3</v>
      </c>
      <c r="K74" s="21">
        <v>1330</v>
      </c>
    </row>
    <row r="75" spans="1:11" x14ac:dyDescent="0.3">
      <c r="A75" s="30" t="s">
        <v>209</v>
      </c>
      <c r="B75" s="21"/>
      <c r="C75" s="21"/>
      <c r="D75" s="21"/>
      <c r="E75" s="21"/>
      <c r="F75" s="21"/>
      <c r="G75" s="21"/>
      <c r="H75" s="21"/>
      <c r="I75" s="21"/>
      <c r="J75" s="21"/>
      <c r="K75" s="21"/>
    </row>
    <row r="76" spans="1:11" x14ac:dyDescent="0.3">
      <c r="A76" s="31" t="s">
        <v>242</v>
      </c>
      <c r="B76" s="405">
        <v>205</v>
      </c>
      <c r="C76" s="405">
        <v>2140</v>
      </c>
      <c r="D76" s="405">
        <v>512</v>
      </c>
      <c r="E76" s="405">
        <v>27.8</v>
      </c>
      <c r="F76" s="405">
        <v>26.2</v>
      </c>
      <c r="G76" s="405">
        <v>8.4</v>
      </c>
      <c r="H76" s="405">
        <v>48.7</v>
      </c>
      <c r="I76" s="405">
        <v>11.7</v>
      </c>
      <c r="J76" s="405">
        <v>2.5</v>
      </c>
      <c r="K76" s="405">
        <v>1410</v>
      </c>
    </row>
    <row r="77" spans="1:11" x14ac:dyDescent="0.3">
      <c r="A77" s="32" t="s">
        <v>211</v>
      </c>
      <c r="B77" s="406"/>
      <c r="C77" s="406"/>
      <c r="D77" s="406"/>
      <c r="E77" s="406"/>
      <c r="F77" s="406"/>
      <c r="G77" s="406"/>
      <c r="H77" s="406"/>
      <c r="I77" s="406"/>
      <c r="J77" s="406"/>
      <c r="K77" s="406"/>
    </row>
    <row r="78" spans="1:11" x14ac:dyDescent="0.3">
      <c r="A78" s="10" t="s">
        <v>243</v>
      </c>
      <c r="B78" s="21">
        <v>64</v>
      </c>
      <c r="C78" s="21">
        <v>774</v>
      </c>
      <c r="D78" s="21">
        <v>185</v>
      </c>
      <c r="E78" s="21">
        <v>14.2</v>
      </c>
      <c r="F78" s="21">
        <v>10.1</v>
      </c>
      <c r="G78" s="21">
        <v>4</v>
      </c>
      <c r="H78" s="21">
        <v>9.6</v>
      </c>
      <c r="I78" s="21">
        <v>6</v>
      </c>
      <c r="J78" s="21">
        <v>0</v>
      </c>
      <c r="K78" s="21">
        <v>612</v>
      </c>
    </row>
    <row r="79" spans="1:11" x14ac:dyDescent="0.3">
      <c r="A79"/>
      <c r="B79"/>
      <c r="C79"/>
      <c r="D79"/>
      <c r="E79"/>
      <c r="F79"/>
      <c r="G79"/>
      <c r="H79"/>
      <c r="I79"/>
      <c r="J79"/>
      <c r="K79"/>
    </row>
    <row r="80" spans="1:11" x14ac:dyDescent="0.3">
      <c r="A80"/>
      <c r="B80"/>
      <c r="C80"/>
      <c r="D80"/>
      <c r="E80"/>
      <c r="F80"/>
      <c r="G80"/>
      <c r="H80"/>
      <c r="I80"/>
      <c r="J80"/>
      <c r="K8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3EF20-AB52-4DE9-85DE-133A4BC1C29A}">
  <sheetPr codeName="Sheet8"/>
  <dimension ref="A1:K90"/>
  <sheetViews>
    <sheetView zoomScale="85" zoomScaleNormal="96" workbookViewId="0">
      <selection activeCell="N18" sqref="N18"/>
    </sheetView>
  </sheetViews>
  <sheetFormatPr defaultRowHeight="13" x14ac:dyDescent="0.3"/>
  <cols>
    <col min="1" max="1" width="68.296875" bestFit="1" customWidth="1"/>
    <col min="2" max="2" width="18.59765625" bestFit="1" customWidth="1"/>
    <col min="3" max="3" width="14.59765625" bestFit="1" customWidth="1"/>
    <col min="4" max="4" width="16.5" bestFit="1" customWidth="1"/>
    <col min="5" max="5" width="14.296875" bestFit="1" customWidth="1"/>
    <col min="6" max="6" width="16.296875" customWidth="1"/>
    <col min="7" max="7" width="14.296875" bestFit="1" customWidth="1"/>
    <col min="8" max="8" width="21.69921875" bestFit="1" customWidth="1"/>
    <col min="9" max="9" width="13.3984375" bestFit="1" customWidth="1"/>
    <col min="10" max="10" width="19.8984375" bestFit="1" customWidth="1"/>
    <col min="11" max="11" width="16.296875" customWidth="1"/>
  </cols>
  <sheetData>
    <row r="1" spans="1:11" ht="15.5" x14ac:dyDescent="0.3">
      <c r="B1" s="10">
        <v>2</v>
      </c>
      <c r="C1" s="10">
        <v>3</v>
      </c>
      <c r="D1" s="10">
        <v>4</v>
      </c>
      <c r="E1" s="10">
        <v>5</v>
      </c>
      <c r="F1" s="10">
        <v>6</v>
      </c>
      <c r="G1" s="10">
        <v>7</v>
      </c>
      <c r="H1" s="10">
        <v>8</v>
      </c>
      <c r="I1" s="10">
        <v>9</v>
      </c>
      <c r="J1" s="10">
        <v>10</v>
      </c>
      <c r="K1" s="10">
        <v>11</v>
      </c>
    </row>
    <row r="2" spans="1:11" ht="15.5" x14ac:dyDescent="0.3">
      <c r="A2" s="13" t="s">
        <v>270</v>
      </c>
      <c r="B2" s="13" t="s">
        <v>140</v>
      </c>
      <c r="C2" s="13" t="s">
        <v>141</v>
      </c>
      <c r="D2" s="13" t="s">
        <v>142</v>
      </c>
      <c r="E2" s="13" t="s">
        <v>143</v>
      </c>
      <c r="F2" s="13" t="s">
        <v>144</v>
      </c>
      <c r="G2" s="13" t="s">
        <v>145</v>
      </c>
      <c r="H2" s="13" t="s">
        <v>146</v>
      </c>
      <c r="I2" s="13" t="s">
        <v>147</v>
      </c>
      <c r="J2" s="13" t="s">
        <v>148</v>
      </c>
      <c r="K2" s="13" t="s">
        <v>149</v>
      </c>
    </row>
    <row r="3" spans="1:11" ht="15.5" x14ac:dyDescent="0.3">
      <c r="A3" s="11" t="s">
        <v>337</v>
      </c>
      <c r="B3" s="20">
        <v>67.699999999999989</v>
      </c>
      <c r="C3" s="20">
        <v>510.59999999999991</v>
      </c>
      <c r="D3" s="20">
        <v>123.39999999999998</v>
      </c>
      <c r="E3" s="20">
        <v>10.700000000000003</v>
      </c>
      <c r="F3" s="20">
        <v>8.6999999999999993</v>
      </c>
      <c r="G3" s="20">
        <v>3.4000000000000004</v>
      </c>
      <c r="H3" s="20">
        <v>0.39999999999999147</v>
      </c>
      <c r="I3" s="20">
        <v>0.29999999999999982</v>
      </c>
      <c r="J3" s="20">
        <v>0.10000000000000009</v>
      </c>
      <c r="K3" s="20">
        <v>335.2</v>
      </c>
    </row>
    <row r="4" spans="1:11" ht="15.5" x14ac:dyDescent="0.3">
      <c r="A4" s="29" t="s">
        <v>241</v>
      </c>
      <c r="B4" s="20">
        <v>64.099999999999994</v>
      </c>
      <c r="C4" s="20">
        <v>771.09999999999991</v>
      </c>
      <c r="D4" s="20">
        <v>185.7</v>
      </c>
      <c r="E4" s="20">
        <v>14.100000000000001</v>
      </c>
      <c r="F4" s="20">
        <v>10.199999999999999</v>
      </c>
      <c r="G4" s="20">
        <v>4</v>
      </c>
      <c r="H4" s="20">
        <v>9.5</v>
      </c>
      <c r="I4" s="20">
        <v>6.1</v>
      </c>
      <c r="J4" s="20">
        <v>0</v>
      </c>
      <c r="K4" s="20">
        <v>612.79999999999995</v>
      </c>
    </row>
    <row r="5" spans="1:11" ht="15.5" x14ac:dyDescent="0.3">
      <c r="A5" s="11" t="s">
        <v>242</v>
      </c>
      <c r="B5" s="20">
        <v>72.699999999999989</v>
      </c>
      <c r="C5" s="20">
        <v>968</v>
      </c>
      <c r="D5" s="20">
        <v>232.2</v>
      </c>
      <c r="E5" s="20">
        <v>17.5</v>
      </c>
      <c r="F5" s="20">
        <v>13.599999999999998</v>
      </c>
      <c r="G5" s="20">
        <v>5.5</v>
      </c>
      <c r="H5" s="20">
        <v>9.8999999999999986</v>
      </c>
      <c r="I5" s="20">
        <v>6.3999999999999986</v>
      </c>
      <c r="J5" s="20">
        <v>0</v>
      </c>
      <c r="K5" s="20">
        <v>874.8</v>
      </c>
    </row>
    <row r="6" spans="1:11" ht="15.5" x14ac:dyDescent="0.3">
      <c r="A6" s="11" t="s">
        <v>119</v>
      </c>
      <c r="B6" s="20">
        <v>85</v>
      </c>
      <c r="C6" s="20">
        <v>351.50000000000011</v>
      </c>
      <c r="D6" s="20">
        <v>83.999999999999972</v>
      </c>
      <c r="E6" s="20">
        <v>14.700000000000001</v>
      </c>
      <c r="F6" s="20">
        <v>1.8999999999999995</v>
      </c>
      <c r="G6" s="20">
        <v>0.7</v>
      </c>
      <c r="H6" s="20">
        <v>3.5999999999999943</v>
      </c>
      <c r="I6" s="20">
        <v>2.8</v>
      </c>
      <c r="J6" s="20">
        <v>0.99999999999999956</v>
      </c>
      <c r="K6" s="20">
        <v>850.8</v>
      </c>
    </row>
    <row r="7" spans="1:11" ht="15.5" x14ac:dyDescent="0.3">
      <c r="A7" s="11" t="s">
        <v>336</v>
      </c>
      <c r="B7" s="20">
        <v>108</v>
      </c>
      <c r="C7" s="20">
        <v>1031.5</v>
      </c>
      <c r="D7" s="20">
        <v>245.99999999999997</v>
      </c>
      <c r="E7" s="20">
        <v>21.700000000000003</v>
      </c>
      <c r="F7" s="20">
        <v>17.600000000000001</v>
      </c>
      <c r="G7" s="20">
        <v>5.7</v>
      </c>
      <c r="H7" s="20">
        <v>2.1999999999999957</v>
      </c>
      <c r="I7" s="20">
        <v>1.5</v>
      </c>
      <c r="J7" s="20">
        <v>0.99999999999999956</v>
      </c>
      <c r="K7" s="20">
        <v>735.8</v>
      </c>
    </row>
    <row r="8" spans="1:11" ht="15.5" x14ac:dyDescent="0.3">
      <c r="A8" s="11" t="s">
        <v>120</v>
      </c>
      <c r="B8" s="20">
        <v>60</v>
      </c>
      <c r="C8" s="20">
        <v>531.50000000000011</v>
      </c>
      <c r="D8" s="20">
        <v>126.99999999999997</v>
      </c>
      <c r="E8" s="20">
        <v>9.4999999999999982</v>
      </c>
      <c r="F8" s="20">
        <v>8.1000000000000014</v>
      </c>
      <c r="G8" s="20">
        <v>1.7</v>
      </c>
      <c r="H8" s="20">
        <v>3.3999999999999986</v>
      </c>
      <c r="I8" s="20">
        <v>0.5</v>
      </c>
      <c r="J8" s="20">
        <v>0</v>
      </c>
      <c r="K8" s="20">
        <v>389.79999999999995</v>
      </c>
    </row>
    <row r="9" spans="1:11" ht="15.5" x14ac:dyDescent="0.3">
      <c r="A9" s="11" t="s">
        <v>121</v>
      </c>
      <c r="B9" s="20">
        <v>64</v>
      </c>
      <c r="C9" s="20">
        <v>281.50000000000011</v>
      </c>
      <c r="D9" s="20">
        <v>68.999999999999972</v>
      </c>
      <c r="E9" s="20">
        <v>14.4</v>
      </c>
      <c r="F9" s="20">
        <v>1.7999999999999998</v>
      </c>
      <c r="G9" s="20">
        <v>0.60000000000000009</v>
      </c>
      <c r="H9" s="20">
        <v>0.69999999999999574</v>
      </c>
      <c r="I9" s="20">
        <v>0.59999999999999964</v>
      </c>
      <c r="J9" s="20">
        <v>0.89999999999999947</v>
      </c>
      <c r="K9" s="20">
        <v>267.79999999999995</v>
      </c>
    </row>
    <row r="10" spans="1:11" ht="15.5" x14ac:dyDescent="0.3">
      <c r="A10" s="11" t="s">
        <v>122</v>
      </c>
      <c r="B10" s="20">
        <v>85</v>
      </c>
      <c r="C10" s="20">
        <v>421.50000000000011</v>
      </c>
      <c r="D10" s="20">
        <v>100.99999999999997</v>
      </c>
      <c r="E10" s="20">
        <v>14.499999999999998</v>
      </c>
      <c r="F10" s="20">
        <v>1.8999999999999995</v>
      </c>
      <c r="G10" s="20">
        <v>0.60000000000000009</v>
      </c>
      <c r="H10" s="20">
        <v>8.0999999999999943</v>
      </c>
      <c r="I10" s="20">
        <v>4.8999999999999995</v>
      </c>
      <c r="J10" s="20">
        <v>0.89999999999999947</v>
      </c>
      <c r="K10" s="20">
        <v>462.79999999999995</v>
      </c>
    </row>
    <row r="11" spans="1:11" ht="15.5" x14ac:dyDescent="0.3">
      <c r="A11" s="11" t="s">
        <v>341</v>
      </c>
      <c r="B11" s="20">
        <v>58.699999999999989</v>
      </c>
      <c r="C11" s="20">
        <v>330.59999999999991</v>
      </c>
      <c r="D11" s="20">
        <v>78.399999999999977</v>
      </c>
      <c r="E11" s="20">
        <v>7.5</v>
      </c>
      <c r="F11" s="20">
        <v>5.3999999999999986</v>
      </c>
      <c r="G11" s="20">
        <v>1.9000000000000004</v>
      </c>
      <c r="H11" s="20">
        <v>0.29999999999999005</v>
      </c>
      <c r="I11" s="20">
        <v>0.20000000000000018</v>
      </c>
      <c r="J11" s="20">
        <v>0.10000000000000009</v>
      </c>
      <c r="K11" s="20">
        <v>138.19999999999999</v>
      </c>
    </row>
    <row r="12" spans="1:11" ht="15.5" x14ac:dyDescent="0.3">
      <c r="A12" s="11" t="s">
        <v>342</v>
      </c>
      <c r="B12" s="20">
        <v>98.699999999999989</v>
      </c>
      <c r="C12" s="20">
        <v>490.59999999999991</v>
      </c>
      <c r="D12" s="20">
        <v>118.39999999999998</v>
      </c>
      <c r="E12" s="20">
        <v>14.5</v>
      </c>
      <c r="F12" s="20">
        <v>6.5</v>
      </c>
      <c r="G12" s="20">
        <v>2.2999999999999998</v>
      </c>
      <c r="H12" s="20">
        <v>0.89999999999999147</v>
      </c>
      <c r="I12" s="20">
        <v>0.79999999999999982</v>
      </c>
      <c r="J12" s="20">
        <v>0.10000000000000009</v>
      </c>
      <c r="K12" s="20">
        <v>577.20000000000005</v>
      </c>
    </row>
    <row r="13" spans="1:11" ht="15.5" x14ac:dyDescent="0.3">
      <c r="A13" s="11" t="s">
        <v>343</v>
      </c>
      <c r="B13" s="20">
        <v>56</v>
      </c>
      <c r="C13" s="20">
        <v>681.50000000000011</v>
      </c>
      <c r="D13" s="20">
        <v>161.99999999999997</v>
      </c>
      <c r="E13" s="20">
        <v>11.700000000000001</v>
      </c>
      <c r="F13" s="20">
        <v>12.399999999999999</v>
      </c>
      <c r="G13" s="20">
        <v>4.9000000000000004</v>
      </c>
      <c r="H13" s="20">
        <v>1.5999999999999943</v>
      </c>
      <c r="I13" s="20">
        <v>0.70000000000000018</v>
      </c>
      <c r="J13" s="20">
        <v>0</v>
      </c>
      <c r="K13" s="20">
        <v>760.8</v>
      </c>
    </row>
    <row r="14" spans="1:11" ht="15.5" x14ac:dyDescent="0.3">
      <c r="A14" s="11" t="s">
        <v>123</v>
      </c>
      <c r="B14" s="20">
        <v>40</v>
      </c>
      <c r="C14" s="20">
        <v>171.50000000000011</v>
      </c>
      <c r="D14" s="20">
        <v>39.999999999999972</v>
      </c>
      <c r="E14" s="20">
        <v>7</v>
      </c>
      <c r="F14" s="20">
        <v>1.2999999999999998</v>
      </c>
      <c r="G14" s="20">
        <v>0.5</v>
      </c>
      <c r="H14" s="20">
        <v>0.69999999999999574</v>
      </c>
      <c r="I14" s="20">
        <v>0.59999999999999964</v>
      </c>
      <c r="J14" s="20">
        <v>0</v>
      </c>
      <c r="K14" s="20">
        <v>439.79999999999995</v>
      </c>
    </row>
    <row r="15" spans="1:11" ht="15.5" x14ac:dyDescent="0.3">
      <c r="A15" s="11" t="s">
        <v>338</v>
      </c>
      <c r="B15" s="20">
        <v>124.8</v>
      </c>
      <c r="C15" s="20">
        <v>650.50000000000011</v>
      </c>
      <c r="D15" s="20">
        <v>156.09999999999997</v>
      </c>
      <c r="E15" s="20">
        <v>10.3</v>
      </c>
      <c r="F15" s="20">
        <v>7.3000000000000016</v>
      </c>
      <c r="G15" s="20">
        <v>3</v>
      </c>
      <c r="H15" s="20">
        <v>9.8999999999999986</v>
      </c>
      <c r="I15" s="20">
        <v>5.1000000000000005</v>
      </c>
      <c r="J15" s="20">
        <v>1.4999999999999996</v>
      </c>
      <c r="K15" s="20">
        <v>475.19999999999993</v>
      </c>
    </row>
    <row r="16" spans="1:11" ht="15.5" x14ac:dyDescent="0.3">
      <c r="A16" s="11" t="s">
        <v>339</v>
      </c>
      <c r="B16" s="20">
        <v>56.8</v>
      </c>
      <c r="C16" s="20">
        <v>650.50000000000011</v>
      </c>
      <c r="D16" s="20">
        <v>156.09999999999997</v>
      </c>
      <c r="E16" s="20">
        <v>8.5</v>
      </c>
      <c r="F16" s="20">
        <v>12.399999999999999</v>
      </c>
      <c r="G16" s="20">
        <v>4.8</v>
      </c>
      <c r="H16" s="20">
        <v>2.9999999999999929</v>
      </c>
      <c r="I16" s="20">
        <v>1.8999999999999995</v>
      </c>
      <c r="J16" s="20">
        <v>0.49999999999999956</v>
      </c>
      <c r="K16" s="20">
        <v>609.19999999999993</v>
      </c>
    </row>
    <row r="17" spans="1:11" ht="15.5" x14ac:dyDescent="0.3">
      <c r="A17" s="11" t="s">
        <v>124</v>
      </c>
      <c r="B17" s="20">
        <v>98</v>
      </c>
      <c r="C17" s="20">
        <v>1021.5000000000001</v>
      </c>
      <c r="D17" s="20">
        <v>242.99999999999997</v>
      </c>
      <c r="E17" s="20">
        <v>11.499999999999998</v>
      </c>
      <c r="F17" s="20">
        <v>17.8</v>
      </c>
      <c r="G17" s="20">
        <v>6.3</v>
      </c>
      <c r="H17" s="20">
        <v>9.8999999999999986</v>
      </c>
      <c r="I17" s="20">
        <v>5.8999999999999995</v>
      </c>
      <c r="J17" s="20">
        <v>1.0999999999999992</v>
      </c>
      <c r="K17" s="20">
        <v>771.8</v>
      </c>
    </row>
    <row r="18" spans="1:11" ht="15.5" x14ac:dyDescent="0.3">
      <c r="A18" s="11" t="s">
        <v>243</v>
      </c>
      <c r="B18" s="20">
        <v>64</v>
      </c>
      <c r="C18" s="20">
        <v>774</v>
      </c>
      <c r="D18" s="20">
        <v>185</v>
      </c>
      <c r="E18" s="20">
        <v>14.2</v>
      </c>
      <c r="F18" s="20">
        <v>10.1</v>
      </c>
      <c r="G18" s="20">
        <v>4</v>
      </c>
      <c r="H18" s="20">
        <v>9.6</v>
      </c>
      <c r="I18" s="20">
        <v>6</v>
      </c>
      <c r="J18" s="20">
        <v>0</v>
      </c>
      <c r="K18" s="20">
        <v>612</v>
      </c>
    </row>
    <row r="19" spans="1:11" ht="15.5" x14ac:dyDescent="0.3">
      <c r="A19" s="11" t="s">
        <v>125</v>
      </c>
      <c r="B19" s="20">
        <v>48</v>
      </c>
      <c r="C19" s="20">
        <v>231.50000000000011</v>
      </c>
      <c r="D19" s="20">
        <v>54.999999999999972</v>
      </c>
      <c r="E19" s="20">
        <v>8.2000000000000011</v>
      </c>
      <c r="F19" s="20">
        <v>1.5999999999999996</v>
      </c>
      <c r="G19" s="20">
        <v>0.7</v>
      </c>
      <c r="H19" s="20">
        <v>1.3999999999999986</v>
      </c>
      <c r="I19" s="20">
        <v>1</v>
      </c>
      <c r="J19" s="20">
        <v>0</v>
      </c>
      <c r="K19" s="20">
        <v>260.79999999999995</v>
      </c>
    </row>
    <row r="20" spans="1:11" ht="15.5" x14ac:dyDescent="0.3">
      <c r="A20" s="11" t="s">
        <v>126</v>
      </c>
      <c r="B20" s="20">
        <v>75</v>
      </c>
      <c r="C20" s="20">
        <v>681.50000000000011</v>
      </c>
      <c r="D20" s="20">
        <v>162.99999999999997</v>
      </c>
      <c r="E20" s="20">
        <v>6.6</v>
      </c>
      <c r="F20" s="20">
        <v>5.9999999999999991</v>
      </c>
      <c r="G20" s="20">
        <v>1</v>
      </c>
      <c r="H20" s="20">
        <v>17.699999999999996</v>
      </c>
      <c r="I20" s="20">
        <v>3.8999999999999995</v>
      </c>
      <c r="J20" s="20">
        <v>3.1999999999999997</v>
      </c>
      <c r="K20" s="20">
        <v>661.8</v>
      </c>
    </row>
    <row r="21" spans="1:11" ht="15.5" x14ac:dyDescent="0.3">
      <c r="A21" s="11" t="s">
        <v>340</v>
      </c>
      <c r="B21" s="20">
        <v>63.8</v>
      </c>
      <c r="C21" s="20">
        <v>430.50000000000011</v>
      </c>
      <c r="D21" s="20">
        <v>104.09999999999997</v>
      </c>
      <c r="E21" s="20">
        <v>14.400000000000002</v>
      </c>
      <c r="F21" s="20">
        <v>4.5999999999999996</v>
      </c>
      <c r="G21" s="20">
        <v>2.1000000000000005</v>
      </c>
      <c r="H21" s="20">
        <v>0.79999999999999716</v>
      </c>
      <c r="I21" s="20">
        <v>0.59999999999999964</v>
      </c>
      <c r="J21" s="20">
        <v>-4.4408920985006262E-16</v>
      </c>
      <c r="K21" s="20">
        <v>357.19999999999993</v>
      </c>
    </row>
    <row r="22" spans="1:11" ht="15.5" x14ac:dyDescent="0.3">
      <c r="A22" s="11" t="s">
        <v>344</v>
      </c>
      <c r="B22" s="20">
        <v>122.69999999999999</v>
      </c>
      <c r="C22" s="20">
        <v>760.59999999999991</v>
      </c>
      <c r="D22" s="20">
        <v>182.39999999999998</v>
      </c>
      <c r="E22" s="20">
        <v>21.9</v>
      </c>
      <c r="F22" s="20">
        <v>9.7999999999999989</v>
      </c>
      <c r="G22" s="20">
        <v>3.9000000000000004</v>
      </c>
      <c r="H22" s="20">
        <v>0.89999999999999147</v>
      </c>
      <c r="I22" s="20">
        <v>0.70000000000000018</v>
      </c>
      <c r="J22" s="20">
        <v>0.10000000000000009</v>
      </c>
      <c r="K22" s="20">
        <v>496.2</v>
      </c>
    </row>
    <row r="23" spans="1:11" ht="15.5" x14ac:dyDescent="0.3">
      <c r="A23" s="11" t="s">
        <v>127</v>
      </c>
      <c r="B23" s="20">
        <v>105</v>
      </c>
      <c r="C23" s="20">
        <v>901.50000000000011</v>
      </c>
      <c r="D23" s="20">
        <v>214.99999999999997</v>
      </c>
      <c r="E23" s="20">
        <v>20.799999999999997</v>
      </c>
      <c r="F23" s="20">
        <v>11.899999999999999</v>
      </c>
      <c r="G23" s="20">
        <v>2.1</v>
      </c>
      <c r="H23" s="20">
        <v>9.5999999999999943</v>
      </c>
      <c r="I23" s="20">
        <v>0.79999999999999982</v>
      </c>
      <c r="J23" s="20">
        <v>0</v>
      </c>
      <c r="K23" s="20">
        <v>608.79999999999995</v>
      </c>
    </row>
    <row r="24" spans="1:11" ht="15.5" x14ac:dyDescent="0.3">
      <c r="A24" s="11" t="s">
        <v>345</v>
      </c>
      <c r="B24" s="20">
        <v>64</v>
      </c>
      <c r="C24" s="20">
        <v>311.50000000000011</v>
      </c>
      <c r="D24" s="20">
        <v>75.999999999999972</v>
      </c>
      <c r="E24" s="20">
        <v>10.200000000000001</v>
      </c>
      <c r="F24" s="20">
        <v>2.2999999999999998</v>
      </c>
      <c r="G24" s="20">
        <v>0.5</v>
      </c>
      <c r="H24" s="20">
        <v>3.7999999999999972</v>
      </c>
      <c r="I24" s="20">
        <v>2.5</v>
      </c>
      <c r="J24" s="20">
        <v>0</v>
      </c>
      <c r="K24" s="20">
        <v>270.79999999999995</v>
      </c>
    </row>
    <row r="25" spans="1:11" ht="15.5" x14ac:dyDescent="0.3">
      <c r="A25" s="11" t="s">
        <v>129</v>
      </c>
      <c r="B25" s="20">
        <v>54</v>
      </c>
      <c r="C25" s="20">
        <v>241.50000000000011</v>
      </c>
      <c r="D25" s="20">
        <v>57.999999999999972</v>
      </c>
      <c r="E25" s="20">
        <v>11.4</v>
      </c>
      <c r="F25" s="20">
        <v>0.59999999999999964</v>
      </c>
      <c r="G25" s="20">
        <v>0.5</v>
      </c>
      <c r="H25" s="20">
        <v>1.5999999999999943</v>
      </c>
      <c r="I25" s="20">
        <v>0.5</v>
      </c>
      <c r="J25" s="20">
        <v>0</v>
      </c>
      <c r="K25" s="20">
        <v>357.79999999999995</v>
      </c>
    </row>
    <row r="26" spans="1:11" ht="15.5" x14ac:dyDescent="0.3">
      <c r="A26" s="11" t="s">
        <v>130</v>
      </c>
      <c r="B26" s="20">
        <v>35</v>
      </c>
      <c r="C26" s="20">
        <v>241.50000000000011</v>
      </c>
      <c r="D26" s="20">
        <v>58.999999999999972</v>
      </c>
      <c r="E26" s="20">
        <v>1.0999999999999996</v>
      </c>
      <c r="F26" s="20">
        <v>5.3999999999999995</v>
      </c>
      <c r="G26" s="20">
        <v>0.7</v>
      </c>
      <c r="H26" s="20">
        <v>3.5999999999999943</v>
      </c>
      <c r="I26" s="20">
        <v>0</v>
      </c>
      <c r="J26" s="20">
        <v>0</v>
      </c>
      <c r="K26" s="20">
        <v>0</v>
      </c>
    </row>
    <row r="27" spans="1:11" ht="15.5" x14ac:dyDescent="0.3">
      <c r="A27" s="11" t="s">
        <v>131</v>
      </c>
      <c r="B27" s="20">
        <v>90</v>
      </c>
      <c r="C27" s="20">
        <v>801.50000000000011</v>
      </c>
      <c r="D27" s="20">
        <v>191.99999999999997</v>
      </c>
      <c r="E27" s="20">
        <v>7.6</v>
      </c>
      <c r="F27" s="20">
        <v>9.5</v>
      </c>
      <c r="G27" s="20">
        <v>1.9000000000000001</v>
      </c>
      <c r="H27" s="20">
        <v>16.599999999999994</v>
      </c>
      <c r="I27" s="20">
        <v>2.5999999999999996</v>
      </c>
      <c r="J27" s="20">
        <v>6.1999999999999993</v>
      </c>
      <c r="K27" s="20">
        <v>323.79999999999995</v>
      </c>
    </row>
    <row r="28" spans="1:11" ht="15.5" x14ac:dyDescent="0.3">
      <c r="B28" s="10"/>
      <c r="C28" s="10"/>
      <c r="D28" s="10"/>
      <c r="E28" s="10"/>
      <c r="F28" s="10"/>
      <c r="G28" s="10"/>
      <c r="H28" s="10"/>
      <c r="I28" s="10"/>
      <c r="J28" s="10"/>
      <c r="K28" s="10"/>
    </row>
    <row r="29" spans="1:11" ht="15.5" x14ac:dyDescent="0.3">
      <c r="B29" s="10"/>
      <c r="C29" s="10"/>
      <c r="D29" s="10"/>
      <c r="E29" s="10"/>
      <c r="F29" s="10"/>
      <c r="G29" s="10"/>
      <c r="H29" s="10"/>
      <c r="I29" s="10"/>
      <c r="J29" s="10"/>
      <c r="K29" s="10"/>
    </row>
    <row r="30" spans="1:11" ht="15.5" x14ac:dyDescent="0.3">
      <c r="B30" s="10"/>
      <c r="C30" s="10"/>
      <c r="D30" s="10"/>
      <c r="E30" s="10"/>
      <c r="F30" s="10"/>
      <c r="G30" s="10"/>
      <c r="H30" s="10"/>
      <c r="I30" s="10"/>
      <c r="J30" s="10"/>
      <c r="K30" s="10"/>
    </row>
    <row r="31" spans="1:11" ht="15.5" x14ac:dyDescent="0.3">
      <c r="A31" s="10" t="s">
        <v>282</v>
      </c>
      <c r="B31" s="10" t="s">
        <v>140</v>
      </c>
      <c r="C31" s="10" t="s">
        <v>141</v>
      </c>
      <c r="D31" s="10" t="s">
        <v>142</v>
      </c>
      <c r="E31" s="10" t="s">
        <v>143</v>
      </c>
      <c r="F31" s="10" t="s">
        <v>144</v>
      </c>
      <c r="G31" s="10" t="s">
        <v>145</v>
      </c>
      <c r="H31" s="10" t="s">
        <v>146</v>
      </c>
      <c r="I31" s="10" t="s">
        <v>147</v>
      </c>
      <c r="J31" s="10" t="s">
        <v>148</v>
      </c>
      <c r="K31" s="10" t="s">
        <v>149</v>
      </c>
    </row>
    <row r="32" spans="1:11" ht="15.5" x14ac:dyDescent="0.3">
      <c r="A32" s="10" t="s">
        <v>244</v>
      </c>
      <c r="B32" s="21">
        <v>67</v>
      </c>
      <c r="C32" s="21">
        <v>817</v>
      </c>
      <c r="D32" s="21">
        <v>195</v>
      </c>
      <c r="E32" s="21">
        <v>7.4</v>
      </c>
      <c r="F32" s="21">
        <v>2.1</v>
      </c>
      <c r="G32" s="21">
        <v>0.3</v>
      </c>
      <c r="H32" s="21">
        <v>35.200000000000003</v>
      </c>
      <c r="I32" s="21">
        <v>2.7</v>
      </c>
      <c r="J32" s="21">
        <v>1.8</v>
      </c>
      <c r="K32" s="21">
        <v>239</v>
      </c>
    </row>
    <row r="33" spans="1:11" ht="15.5" x14ac:dyDescent="0.3">
      <c r="A33" s="10" t="s">
        <v>195</v>
      </c>
      <c r="B33" s="21">
        <v>21</v>
      </c>
      <c r="C33" s="21">
        <v>12.3</v>
      </c>
      <c r="D33" s="21">
        <v>2.9</v>
      </c>
      <c r="E33" s="21">
        <v>0.2</v>
      </c>
      <c r="F33" s="21">
        <v>0</v>
      </c>
      <c r="G33" s="21">
        <v>0</v>
      </c>
      <c r="H33" s="21">
        <v>0.4</v>
      </c>
      <c r="I33" s="21">
        <v>0.4</v>
      </c>
      <c r="J33" s="21">
        <v>0.3</v>
      </c>
      <c r="K33" s="21">
        <v>2.1</v>
      </c>
    </row>
    <row r="34" spans="1:11" ht="15.5" x14ac:dyDescent="0.3">
      <c r="A34" s="10" t="s">
        <v>199</v>
      </c>
      <c r="B34" s="21">
        <v>7</v>
      </c>
      <c r="C34" s="21">
        <v>6.4</v>
      </c>
      <c r="D34" s="21">
        <v>1.5</v>
      </c>
      <c r="E34" s="21">
        <v>0.2</v>
      </c>
      <c r="F34" s="21">
        <v>0</v>
      </c>
      <c r="G34" s="21">
        <v>0</v>
      </c>
      <c r="H34" s="21">
        <v>0.2</v>
      </c>
      <c r="I34" s="21">
        <v>0</v>
      </c>
      <c r="J34" s="21">
        <v>0.2</v>
      </c>
      <c r="K34" s="21">
        <v>5.5</v>
      </c>
    </row>
    <row r="35" spans="1:11" ht="15.5" x14ac:dyDescent="0.3">
      <c r="A35" s="10" t="s">
        <v>225</v>
      </c>
      <c r="B35" s="21">
        <v>35</v>
      </c>
      <c r="C35" s="21">
        <v>26.4</v>
      </c>
      <c r="D35" s="21">
        <v>6.3</v>
      </c>
      <c r="E35" s="21">
        <v>0.3</v>
      </c>
      <c r="F35" s="21">
        <v>0.1</v>
      </c>
      <c r="G35" s="21">
        <v>0</v>
      </c>
      <c r="H35" s="21">
        <v>0.9</v>
      </c>
      <c r="I35" s="21">
        <v>0.9</v>
      </c>
      <c r="J35" s="21">
        <v>0.4</v>
      </c>
      <c r="K35" s="21">
        <v>1.8</v>
      </c>
    </row>
    <row r="36" spans="1:11" ht="15.5" x14ac:dyDescent="0.3">
      <c r="A36" s="10" t="s">
        <v>251</v>
      </c>
      <c r="B36" s="21">
        <v>14</v>
      </c>
      <c r="C36" s="21">
        <v>8.8000000000000007</v>
      </c>
      <c r="D36" s="21">
        <v>2.1</v>
      </c>
      <c r="E36" s="21">
        <v>0.1</v>
      </c>
      <c r="F36" s="21">
        <v>0</v>
      </c>
      <c r="G36" s="21">
        <v>0</v>
      </c>
      <c r="H36" s="21">
        <v>0.4</v>
      </c>
      <c r="I36" s="21">
        <v>0.2</v>
      </c>
      <c r="J36" s="21">
        <v>0.1</v>
      </c>
      <c r="K36" s="21">
        <v>0.3</v>
      </c>
    </row>
    <row r="37" spans="1:11" ht="15.5" x14ac:dyDescent="0.3">
      <c r="A37" s="10" t="s">
        <v>196</v>
      </c>
      <c r="B37" s="21">
        <v>7</v>
      </c>
      <c r="C37" s="21">
        <v>11.7</v>
      </c>
      <c r="D37" s="21">
        <v>2.8</v>
      </c>
      <c r="E37" s="21">
        <v>0.1</v>
      </c>
      <c r="F37" s="21">
        <v>0</v>
      </c>
      <c r="G37" s="21">
        <v>0</v>
      </c>
      <c r="H37" s="21">
        <v>0.5</v>
      </c>
      <c r="I37" s="21">
        <v>0.3</v>
      </c>
      <c r="J37" s="21">
        <v>0.1</v>
      </c>
      <c r="K37" s="21">
        <v>0.3</v>
      </c>
    </row>
    <row r="38" spans="1:11" ht="15.5" x14ac:dyDescent="0.3">
      <c r="A38" s="10" t="s">
        <v>221</v>
      </c>
      <c r="B38" s="21">
        <v>7</v>
      </c>
      <c r="C38" s="21">
        <v>5.9</v>
      </c>
      <c r="D38" s="21">
        <v>1.4</v>
      </c>
      <c r="E38" s="21">
        <v>0.1</v>
      </c>
      <c r="F38" s="21">
        <v>0</v>
      </c>
      <c r="G38" s="21">
        <v>0</v>
      </c>
      <c r="H38" s="21">
        <v>0.2</v>
      </c>
      <c r="I38" s="21">
        <v>0.2</v>
      </c>
      <c r="J38" s="21">
        <v>0.1</v>
      </c>
      <c r="K38" s="21">
        <v>0.2</v>
      </c>
    </row>
    <row r="39" spans="1:11" ht="15.5" x14ac:dyDescent="0.3">
      <c r="A39" s="15" t="s">
        <v>254</v>
      </c>
      <c r="B39" s="26">
        <v>158</v>
      </c>
      <c r="C39" s="26">
        <v>888.49999999999989</v>
      </c>
      <c r="D39" s="26">
        <v>212.00000000000003</v>
      </c>
      <c r="E39" s="26">
        <v>8.4</v>
      </c>
      <c r="F39" s="26">
        <v>2.2000000000000002</v>
      </c>
      <c r="G39" s="26">
        <v>0.3</v>
      </c>
      <c r="H39" s="26">
        <v>37.800000000000004</v>
      </c>
      <c r="I39" s="26">
        <v>4.7</v>
      </c>
      <c r="J39" s="26">
        <v>3.0000000000000004</v>
      </c>
      <c r="K39" s="26">
        <v>249.20000000000002</v>
      </c>
    </row>
    <row r="40" spans="1:11" ht="15.5" x14ac:dyDescent="0.3">
      <c r="B40" s="10"/>
      <c r="C40" s="10"/>
      <c r="D40" s="10"/>
      <c r="E40" s="10"/>
      <c r="F40" s="10"/>
      <c r="G40" s="10"/>
      <c r="H40" s="10"/>
      <c r="I40" s="10"/>
      <c r="J40" s="10"/>
      <c r="K40" s="10"/>
    </row>
    <row r="41" spans="1:11" ht="15.5" x14ac:dyDescent="0.3">
      <c r="A41" s="10" t="s">
        <v>317</v>
      </c>
      <c r="B41" s="10" t="s">
        <v>140</v>
      </c>
      <c r="C41" s="10" t="s">
        <v>141</v>
      </c>
      <c r="D41" s="10" t="s">
        <v>142</v>
      </c>
      <c r="E41" s="10" t="s">
        <v>143</v>
      </c>
      <c r="F41" s="10" t="s">
        <v>144</v>
      </c>
      <c r="G41" s="10" t="s">
        <v>145</v>
      </c>
      <c r="H41" s="10" t="s">
        <v>146</v>
      </c>
      <c r="I41" s="10" t="s">
        <v>147</v>
      </c>
      <c r="J41" s="10" t="s">
        <v>148</v>
      </c>
      <c r="K41" s="10" t="s">
        <v>149</v>
      </c>
    </row>
    <row r="42" spans="1:11" ht="15.5" x14ac:dyDescent="0.3">
      <c r="A42" s="10" t="s">
        <v>195</v>
      </c>
      <c r="B42" s="21">
        <v>21</v>
      </c>
      <c r="C42" s="21">
        <v>12.3</v>
      </c>
      <c r="D42" s="21">
        <v>2.9</v>
      </c>
      <c r="E42" s="21">
        <v>0.2</v>
      </c>
      <c r="F42" s="21">
        <v>0</v>
      </c>
      <c r="G42" s="21">
        <v>0</v>
      </c>
      <c r="H42" s="21">
        <v>0.4</v>
      </c>
      <c r="I42" s="21">
        <v>0.4</v>
      </c>
      <c r="J42" s="21">
        <v>0.3</v>
      </c>
      <c r="K42" s="21">
        <v>2.1</v>
      </c>
    </row>
    <row r="43" spans="1:11" ht="15.5" x14ac:dyDescent="0.3">
      <c r="A43" s="10" t="s">
        <v>196</v>
      </c>
      <c r="B43" s="21">
        <v>7</v>
      </c>
      <c r="C43" s="21">
        <v>11.7</v>
      </c>
      <c r="D43" s="21">
        <v>2.8</v>
      </c>
      <c r="E43" s="21">
        <v>0.1</v>
      </c>
      <c r="F43" s="21">
        <v>0</v>
      </c>
      <c r="G43" s="21">
        <v>0</v>
      </c>
      <c r="H43" s="21">
        <v>0.5</v>
      </c>
      <c r="I43" s="21">
        <v>0.3</v>
      </c>
      <c r="J43" s="21">
        <v>0.1</v>
      </c>
      <c r="K43" s="21">
        <v>0.3</v>
      </c>
    </row>
    <row r="44" spans="1:11" ht="15.5" x14ac:dyDescent="0.3">
      <c r="A44" s="10" t="s">
        <v>224</v>
      </c>
      <c r="B44" s="21">
        <v>9.5</v>
      </c>
      <c r="C44" s="21">
        <v>5.9</v>
      </c>
      <c r="D44" s="21">
        <v>1.4</v>
      </c>
      <c r="E44" s="21">
        <v>0</v>
      </c>
      <c r="F44" s="21">
        <v>0</v>
      </c>
      <c r="G44" s="21">
        <v>0</v>
      </c>
      <c r="H44" s="21">
        <v>0.2</v>
      </c>
      <c r="I44" s="21">
        <v>0</v>
      </c>
      <c r="J44" s="21">
        <v>0.1</v>
      </c>
      <c r="K44" s="21">
        <v>114</v>
      </c>
    </row>
    <row r="45" spans="1:11" ht="15.5" x14ac:dyDescent="0.3">
      <c r="A45" s="10" t="s">
        <v>192</v>
      </c>
      <c r="B45" s="21">
        <v>7</v>
      </c>
      <c r="C45" s="21">
        <v>12</v>
      </c>
      <c r="D45" s="21">
        <v>2.9</v>
      </c>
      <c r="E45" s="21">
        <v>0.1</v>
      </c>
      <c r="F45" s="21">
        <v>0</v>
      </c>
      <c r="G45" s="21">
        <v>0</v>
      </c>
      <c r="H45" s="21">
        <v>0.5</v>
      </c>
      <c r="I45" s="21">
        <v>0.3</v>
      </c>
      <c r="J45" s="21">
        <v>0.2</v>
      </c>
      <c r="K45" s="21">
        <v>4.8</v>
      </c>
    </row>
    <row r="46" spans="1:11" ht="15.5" x14ac:dyDescent="0.3">
      <c r="A46" s="10" t="s">
        <v>185</v>
      </c>
      <c r="B46" s="21">
        <v>21</v>
      </c>
      <c r="C46" s="21">
        <v>131</v>
      </c>
      <c r="D46" s="21">
        <v>31.3</v>
      </c>
      <c r="E46" s="21">
        <v>0.2</v>
      </c>
      <c r="F46" s="21">
        <v>0.2</v>
      </c>
      <c r="G46" s="21">
        <v>0.2</v>
      </c>
      <c r="H46" s="21">
        <v>7.5</v>
      </c>
      <c r="I46" s="21">
        <v>5.7</v>
      </c>
      <c r="J46" s="21">
        <v>0.2</v>
      </c>
      <c r="K46" s="21">
        <v>172</v>
      </c>
    </row>
    <row r="47" spans="1:11" ht="15.5" x14ac:dyDescent="0.3">
      <c r="A47" s="10" t="s">
        <v>247</v>
      </c>
      <c r="B47" s="21">
        <v>78.400000000000006</v>
      </c>
      <c r="C47" s="21">
        <v>976</v>
      </c>
      <c r="D47" s="21">
        <v>233</v>
      </c>
      <c r="E47" s="21">
        <v>9.4</v>
      </c>
      <c r="F47" s="21">
        <v>4.5</v>
      </c>
      <c r="G47" s="21">
        <v>2</v>
      </c>
      <c r="H47" s="21">
        <v>37.4</v>
      </c>
      <c r="I47" s="21">
        <v>2.8</v>
      </c>
      <c r="J47" s="21">
        <v>2.1</v>
      </c>
      <c r="K47" s="21">
        <v>424</v>
      </c>
    </row>
    <row r="48" spans="1:11" ht="15.5" x14ac:dyDescent="0.3">
      <c r="A48" s="15" t="s">
        <v>254</v>
      </c>
      <c r="B48" s="26">
        <v>143.9</v>
      </c>
      <c r="C48" s="26">
        <v>1148.9000000000001</v>
      </c>
      <c r="D48" s="26">
        <v>274.3</v>
      </c>
      <c r="E48" s="26">
        <v>10</v>
      </c>
      <c r="F48" s="26">
        <v>4.7</v>
      </c>
      <c r="G48" s="26">
        <v>2.2000000000000002</v>
      </c>
      <c r="H48" s="26">
        <v>46.5</v>
      </c>
      <c r="I48" s="26">
        <v>9.5</v>
      </c>
      <c r="J48" s="26">
        <v>3</v>
      </c>
      <c r="K48" s="26">
        <v>717.2</v>
      </c>
    </row>
    <row r="49" spans="1:11" ht="15.5" x14ac:dyDescent="0.3">
      <c r="B49" s="10"/>
      <c r="C49" s="10"/>
      <c r="D49" s="10"/>
      <c r="E49" s="10"/>
      <c r="F49" s="10"/>
      <c r="G49" s="10"/>
      <c r="H49" s="10"/>
      <c r="I49" s="10"/>
      <c r="J49" s="10"/>
      <c r="K49" s="10"/>
    </row>
    <row r="50" spans="1:11" ht="15.5" x14ac:dyDescent="0.3">
      <c r="A50" s="10" t="s">
        <v>318</v>
      </c>
      <c r="B50" s="10" t="s">
        <v>140</v>
      </c>
      <c r="C50" s="10" t="s">
        <v>141</v>
      </c>
      <c r="D50" s="10" t="s">
        <v>142</v>
      </c>
      <c r="E50" s="10" t="s">
        <v>143</v>
      </c>
      <c r="F50" s="10" t="s">
        <v>144</v>
      </c>
      <c r="G50" s="10" t="s">
        <v>145</v>
      </c>
      <c r="H50" s="10" t="s">
        <v>146</v>
      </c>
      <c r="I50" s="10" t="s">
        <v>147</v>
      </c>
      <c r="J50" s="10" t="s">
        <v>148</v>
      </c>
      <c r="K50" s="10" t="s">
        <v>149</v>
      </c>
    </row>
    <row r="51" spans="1:11" ht="15.5" x14ac:dyDescent="0.3">
      <c r="A51" s="10" t="s">
        <v>195</v>
      </c>
      <c r="B51" s="21">
        <v>21</v>
      </c>
      <c r="C51" s="21">
        <v>12.3</v>
      </c>
      <c r="D51" s="21">
        <v>2.9</v>
      </c>
      <c r="E51" s="21">
        <v>0.2</v>
      </c>
      <c r="F51" s="21">
        <v>0</v>
      </c>
      <c r="G51" s="21">
        <v>0</v>
      </c>
      <c r="H51" s="21">
        <v>0.4</v>
      </c>
      <c r="I51" s="21">
        <v>0.4</v>
      </c>
      <c r="J51" s="21">
        <v>0.3</v>
      </c>
      <c r="K51" s="21">
        <v>2.1</v>
      </c>
    </row>
    <row r="52" spans="1:11" ht="15.5" x14ac:dyDescent="0.3">
      <c r="A52" s="10" t="s">
        <v>196</v>
      </c>
      <c r="B52" s="21">
        <v>7</v>
      </c>
      <c r="C52" s="21">
        <v>11.7</v>
      </c>
      <c r="D52" s="21">
        <v>2.8</v>
      </c>
      <c r="E52" s="21">
        <v>0.1</v>
      </c>
      <c r="F52" s="21">
        <v>0</v>
      </c>
      <c r="G52" s="21">
        <v>0</v>
      </c>
      <c r="H52" s="21">
        <v>0.5</v>
      </c>
      <c r="I52" s="21">
        <v>0.3</v>
      </c>
      <c r="J52" s="21">
        <v>0.1</v>
      </c>
      <c r="K52" s="21">
        <v>0.3</v>
      </c>
    </row>
    <row r="53" spans="1:11" ht="15.5" x14ac:dyDescent="0.3">
      <c r="A53" s="10" t="s">
        <v>222</v>
      </c>
      <c r="B53" s="21">
        <v>4</v>
      </c>
      <c r="C53" s="21">
        <v>6.7</v>
      </c>
      <c r="D53" s="21">
        <v>1.6</v>
      </c>
      <c r="E53" s="21">
        <v>0.1</v>
      </c>
      <c r="F53" s="21">
        <v>0</v>
      </c>
      <c r="G53" s="21">
        <v>0</v>
      </c>
      <c r="H53" s="21">
        <v>0.2</v>
      </c>
      <c r="I53" s="21">
        <v>0.2</v>
      </c>
      <c r="J53" s="21">
        <v>0.1</v>
      </c>
      <c r="K53" s="21">
        <v>67.599999999999994</v>
      </c>
    </row>
    <row r="54" spans="1:11" ht="15.5" x14ac:dyDescent="0.3">
      <c r="A54" s="10" t="s">
        <v>192</v>
      </c>
      <c r="B54" s="21">
        <v>7</v>
      </c>
      <c r="C54" s="21">
        <v>12</v>
      </c>
      <c r="D54" s="21">
        <v>2.9</v>
      </c>
      <c r="E54" s="21">
        <v>0.1</v>
      </c>
      <c r="F54" s="21">
        <v>0</v>
      </c>
      <c r="G54" s="21">
        <v>0</v>
      </c>
      <c r="H54" s="21">
        <v>0.5</v>
      </c>
      <c r="I54" s="21">
        <v>0.3</v>
      </c>
      <c r="J54" s="21">
        <v>0.2</v>
      </c>
      <c r="K54" s="21">
        <v>4.8</v>
      </c>
    </row>
    <row r="55" spans="1:11" ht="15.5" x14ac:dyDescent="0.3">
      <c r="A55" s="10" t="s">
        <v>238</v>
      </c>
      <c r="B55" s="21">
        <v>11.3</v>
      </c>
      <c r="C55" s="21">
        <v>162</v>
      </c>
      <c r="D55" s="21">
        <v>38.6</v>
      </c>
      <c r="E55" s="21">
        <v>2.2999999999999998</v>
      </c>
      <c r="F55" s="21">
        <v>3.1</v>
      </c>
      <c r="G55" s="21">
        <v>2</v>
      </c>
      <c r="H55" s="21">
        <v>0.5</v>
      </c>
      <c r="I55" s="21">
        <v>0.2</v>
      </c>
      <c r="J55" s="21">
        <v>0</v>
      </c>
      <c r="K55" s="21">
        <v>136</v>
      </c>
    </row>
    <row r="56" spans="1:11" ht="15.5" x14ac:dyDescent="0.3">
      <c r="A56" s="10" t="s">
        <v>186</v>
      </c>
      <c r="B56" s="21">
        <v>15</v>
      </c>
      <c r="C56" s="21">
        <v>157</v>
      </c>
      <c r="D56" s="21">
        <v>37.6</v>
      </c>
      <c r="E56" s="21">
        <v>0.2</v>
      </c>
      <c r="F56" s="21">
        <v>7.4</v>
      </c>
      <c r="G56" s="21">
        <v>0.6</v>
      </c>
      <c r="H56" s="21">
        <v>1.7</v>
      </c>
      <c r="I56" s="21">
        <v>1.4</v>
      </c>
      <c r="J56" s="21">
        <v>0.1</v>
      </c>
      <c r="K56" s="21">
        <v>153</v>
      </c>
    </row>
    <row r="57" spans="1:11" ht="15.5" x14ac:dyDescent="0.3">
      <c r="A57" s="10" t="s">
        <v>244</v>
      </c>
      <c r="B57" s="21">
        <v>67</v>
      </c>
      <c r="C57" s="21">
        <v>817</v>
      </c>
      <c r="D57" s="21">
        <v>195</v>
      </c>
      <c r="E57" s="21">
        <v>7.4</v>
      </c>
      <c r="F57" s="21">
        <v>2.1</v>
      </c>
      <c r="G57" s="21">
        <v>0.3</v>
      </c>
      <c r="H57" s="21">
        <v>35.200000000000003</v>
      </c>
      <c r="I57" s="21">
        <v>2.7</v>
      </c>
      <c r="J57" s="21">
        <v>1.8</v>
      </c>
      <c r="K57" s="21">
        <v>239</v>
      </c>
    </row>
    <row r="58" spans="1:11" ht="15.5" x14ac:dyDescent="0.3">
      <c r="A58" s="15" t="s">
        <v>254</v>
      </c>
      <c r="B58" s="26">
        <v>132.30000000000001</v>
      </c>
      <c r="C58" s="26">
        <v>1172</v>
      </c>
      <c r="D58" s="26">
        <v>279.8</v>
      </c>
      <c r="E58" s="26">
        <v>10.299999999999999</v>
      </c>
      <c r="F58" s="26">
        <v>12.600000000000001</v>
      </c>
      <c r="G58" s="26">
        <v>2.9</v>
      </c>
      <c r="H58" s="26">
        <v>38.800000000000004</v>
      </c>
      <c r="I58" s="26">
        <v>5.3000000000000007</v>
      </c>
      <c r="J58" s="26">
        <v>2.5000000000000004</v>
      </c>
      <c r="K58" s="26">
        <v>535.20000000000005</v>
      </c>
    </row>
    <row r="59" spans="1:11" ht="15.5" x14ac:dyDescent="0.3">
      <c r="B59" s="10"/>
      <c r="C59" s="10"/>
      <c r="D59" s="10"/>
      <c r="E59" s="10"/>
      <c r="F59" s="10"/>
      <c r="G59" s="10"/>
      <c r="H59" s="10"/>
      <c r="I59" s="10"/>
      <c r="J59" s="10"/>
      <c r="K59" s="10"/>
    </row>
    <row r="60" spans="1:11" ht="15.5" x14ac:dyDescent="0.3">
      <c r="A60" s="10" t="s">
        <v>328</v>
      </c>
      <c r="B60" s="10" t="s">
        <v>140</v>
      </c>
      <c r="C60" s="10" t="s">
        <v>141</v>
      </c>
      <c r="D60" s="10" t="s">
        <v>142</v>
      </c>
      <c r="E60" s="10" t="s">
        <v>143</v>
      </c>
      <c r="F60" s="10" t="s">
        <v>144</v>
      </c>
      <c r="G60" s="10" t="s">
        <v>145</v>
      </c>
      <c r="H60" s="10" t="s">
        <v>146</v>
      </c>
      <c r="I60" s="10" t="s">
        <v>147</v>
      </c>
      <c r="J60" s="10" t="s">
        <v>148</v>
      </c>
      <c r="K60" s="10" t="s">
        <v>149</v>
      </c>
    </row>
    <row r="61" spans="1:11" ht="15.5" x14ac:dyDescent="0.3">
      <c r="A61" s="10" t="s">
        <v>244</v>
      </c>
      <c r="B61" s="21">
        <v>67</v>
      </c>
      <c r="C61" s="21">
        <v>817</v>
      </c>
      <c r="D61" s="21">
        <v>195</v>
      </c>
      <c r="E61" s="21">
        <v>7.4</v>
      </c>
      <c r="F61" s="21">
        <v>2.1</v>
      </c>
      <c r="G61" s="21">
        <v>0.3</v>
      </c>
      <c r="H61" s="21">
        <v>35.200000000000003</v>
      </c>
      <c r="I61" s="21">
        <v>2.7</v>
      </c>
      <c r="J61" s="21">
        <v>1.8</v>
      </c>
      <c r="K61" s="21">
        <v>239</v>
      </c>
    </row>
    <row r="62" spans="1:11" ht="15.5" x14ac:dyDescent="0.3">
      <c r="A62" s="10" t="s">
        <v>199</v>
      </c>
      <c r="B62" s="21">
        <v>7</v>
      </c>
      <c r="C62" s="21">
        <v>6.4</v>
      </c>
      <c r="D62" s="21">
        <v>1.5</v>
      </c>
      <c r="E62" s="21">
        <v>0.2</v>
      </c>
      <c r="F62" s="21">
        <v>0</v>
      </c>
      <c r="G62" s="21">
        <v>0</v>
      </c>
      <c r="H62" s="21">
        <v>0.2</v>
      </c>
      <c r="I62" s="21">
        <v>0</v>
      </c>
      <c r="J62" s="21">
        <v>0.2</v>
      </c>
      <c r="K62" s="21">
        <v>5.5</v>
      </c>
    </row>
    <row r="63" spans="1:11" ht="15.5" x14ac:dyDescent="0.3">
      <c r="A63" s="10" t="s">
        <v>225</v>
      </c>
      <c r="B63" s="21">
        <v>35</v>
      </c>
      <c r="C63" s="21">
        <v>26.4</v>
      </c>
      <c r="D63" s="21">
        <v>6.3</v>
      </c>
      <c r="E63" s="21">
        <v>0.3</v>
      </c>
      <c r="F63" s="21">
        <v>0.1</v>
      </c>
      <c r="G63" s="21">
        <v>0</v>
      </c>
      <c r="H63" s="21">
        <v>0.9</v>
      </c>
      <c r="I63" s="21">
        <v>0.9</v>
      </c>
      <c r="J63" s="21">
        <v>0.4</v>
      </c>
      <c r="K63" s="21">
        <v>1.8</v>
      </c>
    </row>
    <row r="64" spans="1:11" ht="15.5" x14ac:dyDescent="0.3">
      <c r="A64" s="10" t="s">
        <v>196</v>
      </c>
      <c r="B64" s="21">
        <v>7</v>
      </c>
      <c r="C64" s="21">
        <v>11.7</v>
      </c>
      <c r="D64" s="21">
        <v>2.8</v>
      </c>
      <c r="E64" s="21">
        <v>0.1</v>
      </c>
      <c r="F64" s="21">
        <v>0</v>
      </c>
      <c r="G64" s="21">
        <v>0</v>
      </c>
      <c r="H64" s="21">
        <v>0.5</v>
      </c>
      <c r="I64" s="21">
        <v>0.3</v>
      </c>
      <c r="J64" s="21">
        <v>0.1</v>
      </c>
      <c r="K64" s="21">
        <v>0.3</v>
      </c>
    </row>
    <row r="65" spans="1:11" ht="15.5" x14ac:dyDescent="0.3">
      <c r="A65" s="10" t="s">
        <v>221</v>
      </c>
      <c r="B65" s="21">
        <v>7</v>
      </c>
      <c r="C65" s="21">
        <v>5.9</v>
      </c>
      <c r="D65" s="21">
        <v>1.4</v>
      </c>
      <c r="E65" s="21">
        <v>0.1</v>
      </c>
      <c r="F65" s="21">
        <v>0</v>
      </c>
      <c r="G65" s="21">
        <v>0</v>
      </c>
      <c r="H65" s="21">
        <v>0.2</v>
      </c>
      <c r="I65" s="21">
        <v>0.2</v>
      </c>
      <c r="J65" s="21">
        <v>0.1</v>
      </c>
      <c r="K65" s="21">
        <v>0.2</v>
      </c>
    </row>
    <row r="66" spans="1:11" ht="15.5" x14ac:dyDescent="0.3">
      <c r="A66" s="10" t="s">
        <v>334</v>
      </c>
      <c r="B66" s="21">
        <v>11.3</v>
      </c>
      <c r="C66" s="21">
        <v>162</v>
      </c>
      <c r="D66" s="21">
        <v>38.6</v>
      </c>
      <c r="E66" s="21">
        <v>2.2999999999999998</v>
      </c>
      <c r="F66" s="21">
        <v>3.1</v>
      </c>
      <c r="G66" s="21">
        <v>2</v>
      </c>
      <c r="H66" s="21">
        <v>0.5</v>
      </c>
      <c r="I66" s="21">
        <v>0.2</v>
      </c>
      <c r="J66" s="21">
        <v>0</v>
      </c>
      <c r="K66" s="21">
        <v>136</v>
      </c>
    </row>
    <row r="67" spans="1:11" ht="15.5" x14ac:dyDescent="0.3">
      <c r="A67" s="15" t="s">
        <v>254</v>
      </c>
      <c r="B67" s="26">
        <v>134.30000000000001</v>
      </c>
      <c r="C67" s="26">
        <v>1029.4000000000001</v>
      </c>
      <c r="D67" s="26">
        <v>245.60000000000002</v>
      </c>
      <c r="E67" s="26">
        <v>10.399999999999999</v>
      </c>
      <c r="F67" s="26">
        <v>5.3000000000000007</v>
      </c>
      <c r="G67" s="26">
        <v>2.2999999999999998</v>
      </c>
      <c r="H67" s="26">
        <v>37.500000000000007</v>
      </c>
      <c r="I67" s="26">
        <v>4.3</v>
      </c>
      <c r="J67" s="26">
        <v>2.6</v>
      </c>
      <c r="K67" s="26">
        <v>382.8</v>
      </c>
    </row>
    <row r="68" spans="1:11" ht="15.5" x14ac:dyDescent="0.3">
      <c r="B68" s="10"/>
      <c r="C68" s="10"/>
      <c r="D68" s="10"/>
      <c r="E68" s="10"/>
      <c r="F68" s="10"/>
      <c r="G68" s="10"/>
      <c r="H68" s="10"/>
      <c r="I68" s="10"/>
      <c r="J68" s="10"/>
      <c r="K68" s="10"/>
    </row>
    <row r="69" spans="1:11" ht="15.5" x14ac:dyDescent="0.3">
      <c r="A69" s="10" t="s">
        <v>335</v>
      </c>
      <c r="B69" s="10" t="s">
        <v>140</v>
      </c>
      <c r="C69" s="10" t="s">
        <v>141</v>
      </c>
      <c r="D69" s="10" t="s">
        <v>142</v>
      </c>
      <c r="E69" s="10" t="s">
        <v>143</v>
      </c>
      <c r="F69" s="10" t="s">
        <v>144</v>
      </c>
      <c r="G69" s="10" t="s">
        <v>145</v>
      </c>
      <c r="H69" s="10" t="s">
        <v>146</v>
      </c>
      <c r="I69" s="10" t="s">
        <v>147</v>
      </c>
      <c r="J69" s="10" t="s">
        <v>148</v>
      </c>
      <c r="K69" s="10" t="s">
        <v>149</v>
      </c>
    </row>
    <row r="70" spans="1:11" ht="15.5" x14ac:dyDescent="0.3">
      <c r="A70" s="10" t="s">
        <v>354</v>
      </c>
      <c r="B70" s="10">
        <v>14.2</v>
      </c>
      <c r="C70" s="10">
        <v>171</v>
      </c>
      <c r="D70" s="10">
        <v>40.9</v>
      </c>
      <c r="E70" s="10">
        <v>3.8</v>
      </c>
      <c r="F70" s="10">
        <v>2.8</v>
      </c>
      <c r="G70" s="10">
        <v>2</v>
      </c>
      <c r="H70" s="10">
        <v>0</v>
      </c>
      <c r="I70" s="10">
        <v>0</v>
      </c>
      <c r="J70" s="10">
        <v>0</v>
      </c>
      <c r="K70" s="10">
        <v>69.599999999999994</v>
      </c>
    </row>
    <row r="71" spans="1:11" ht="15.5" x14ac:dyDescent="0.3">
      <c r="A71" s="15" t="s">
        <v>254</v>
      </c>
      <c r="B71" s="15">
        <v>14.2</v>
      </c>
      <c r="C71" s="15">
        <v>171</v>
      </c>
      <c r="D71" s="15">
        <v>40.9</v>
      </c>
      <c r="E71" s="15">
        <v>3.8</v>
      </c>
      <c r="F71" s="15">
        <v>2.8</v>
      </c>
      <c r="G71" s="15">
        <v>2</v>
      </c>
      <c r="H71" s="15">
        <v>0</v>
      </c>
      <c r="I71" s="15">
        <v>0</v>
      </c>
      <c r="J71" s="15">
        <v>0</v>
      </c>
      <c r="K71" s="15">
        <v>69.599999999999994</v>
      </c>
    </row>
    <row r="76" spans="1:11" ht="15.5" x14ac:dyDescent="0.3">
      <c r="A76" s="11"/>
    </row>
    <row r="77" spans="1:11" ht="15.5" x14ac:dyDescent="0.3">
      <c r="A77" s="11"/>
    </row>
    <row r="78" spans="1:11" ht="15.5" x14ac:dyDescent="0.3">
      <c r="A78" s="11"/>
    </row>
    <row r="79" spans="1:11" ht="15.5" x14ac:dyDescent="0.3">
      <c r="A79" s="11"/>
    </row>
    <row r="80" spans="1:11" ht="15.5" x14ac:dyDescent="0.3">
      <c r="A80" s="11"/>
    </row>
    <row r="81" spans="1:1" ht="15.5" x14ac:dyDescent="0.3">
      <c r="A81" s="11"/>
    </row>
    <row r="82" spans="1:1" ht="15.5" x14ac:dyDescent="0.3">
      <c r="A82" s="11"/>
    </row>
    <row r="83" spans="1:1" ht="15.5" x14ac:dyDescent="0.3">
      <c r="A83" s="11"/>
    </row>
    <row r="84" spans="1:1" ht="15.5" x14ac:dyDescent="0.3">
      <c r="A84" s="11"/>
    </row>
    <row r="85" spans="1:1" ht="15.5" x14ac:dyDescent="0.3">
      <c r="A85" s="11"/>
    </row>
    <row r="86" spans="1:1" ht="15.5" x14ac:dyDescent="0.3">
      <c r="A86" s="11"/>
    </row>
    <row r="87" spans="1:1" ht="15.5" x14ac:dyDescent="0.3">
      <c r="A87" s="11"/>
    </row>
    <row r="88" spans="1:1" ht="15.5" x14ac:dyDescent="0.3">
      <c r="A88" s="11"/>
    </row>
    <row r="89" spans="1:1" ht="15.5" x14ac:dyDescent="0.3">
      <c r="A89" s="11"/>
    </row>
    <row r="90" spans="1:1" ht="15.5" x14ac:dyDescent="0.3">
      <c r="A90" s="11"/>
    </row>
  </sheetData>
  <conditionalFormatting sqref="A3:A27">
    <cfRule type="duplicateValues" dxfId="6" priority="1"/>
  </conditionalFormatting>
  <pageMargins left="0.7" right="0.7" top="0.75" bottom="0.75" header="0.3" footer="0.3"/>
  <pageSetup paperSize="9" orientation="portrait" horizontalDpi="300" verticalDpi="300" r:id="rId1"/>
  <legacyDrawing r:id="rId2"/>
  <tableParts count="6">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2D826-FD7F-4DD8-B39D-85338E988132}">
  <sheetPr codeName="Sheet10"/>
  <dimension ref="A1:K26"/>
  <sheetViews>
    <sheetView workbookViewId="0">
      <selection activeCell="B22" sqref="B22"/>
    </sheetView>
  </sheetViews>
  <sheetFormatPr defaultRowHeight="13" x14ac:dyDescent="0.3"/>
  <cols>
    <col min="1" max="1" width="35.09765625" bestFit="1" customWidth="1"/>
    <col min="2" max="2" width="124.296875" bestFit="1" customWidth="1"/>
    <col min="3" max="3" width="14.09765625" bestFit="1" customWidth="1"/>
    <col min="4" max="4" width="16.19921875" bestFit="1" customWidth="1"/>
    <col min="5" max="5" width="13.796875" bestFit="1" customWidth="1"/>
    <col min="6" max="6" width="15.796875" bestFit="1" customWidth="1"/>
    <col min="7" max="7" width="13.69921875" bestFit="1" customWidth="1"/>
    <col min="8" max="8" width="21.3984375" bestFit="1" customWidth="1"/>
    <col min="9" max="9" width="13" bestFit="1" customWidth="1"/>
    <col min="10" max="10" width="19.3984375" bestFit="1" customWidth="1"/>
    <col min="11" max="11" width="16.09765625" bestFit="1" customWidth="1"/>
  </cols>
  <sheetData>
    <row r="1" spans="1:2" ht="15.5" x14ac:dyDescent="0.3">
      <c r="A1" s="15" t="s">
        <v>270</v>
      </c>
      <c r="B1" s="15" t="s">
        <v>140</v>
      </c>
    </row>
    <row r="2" spans="1:2" ht="15.5" x14ac:dyDescent="0.3">
      <c r="A2" s="10" t="s">
        <v>337</v>
      </c>
      <c r="B2" s="409" t="s">
        <v>360</v>
      </c>
    </row>
    <row r="3" spans="1:2" ht="15.5" x14ac:dyDescent="0.3">
      <c r="A3" s="10" t="s">
        <v>241</v>
      </c>
      <c r="B3" s="409" t="s">
        <v>357</v>
      </c>
    </row>
    <row r="4" spans="1:2" ht="15.5" x14ac:dyDescent="0.3">
      <c r="A4" s="10" t="s">
        <v>242</v>
      </c>
      <c r="B4" s="409" t="s">
        <v>359</v>
      </c>
    </row>
    <row r="5" spans="1:2" ht="15.5" x14ac:dyDescent="0.3">
      <c r="A5" s="10" t="s">
        <v>119</v>
      </c>
      <c r="B5" s="409" t="s">
        <v>358</v>
      </c>
    </row>
    <row r="6" spans="1:2" ht="15.5" x14ac:dyDescent="0.3">
      <c r="A6" s="10" t="s">
        <v>336</v>
      </c>
      <c r="B6" s="409" t="s">
        <v>358</v>
      </c>
    </row>
    <row r="7" spans="1:2" ht="15.5" x14ac:dyDescent="0.3">
      <c r="A7" s="10" t="s">
        <v>120</v>
      </c>
      <c r="B7" s="409" t="s">
        <v>358</v>
      </c>
    </row>
    <row r="8" spans="1:2" ht="15.5" x14ac:dyDescent="0.3">
      <c r="A8" s="10" t="s">
        <v>121</v>
      </c>
      <c r="B8" s="409" t="s">
        <v>358</v>
      </c>
    </row>
    <row r="9" spans="1:2" ht="15.5" x14ac:dyDescent="0.3">
      <c r="A9" s="10" t="s">
        <v>122</v>
      </c>
      <c r="B9" s="409" t="s">
        <v>358</v>
      </c>
    </row>
    <row r="10" spans="1:2" ht="15.5" x14ac:dyDescent="0.3">
      <c r="A10" s="10" t="s">
        <v>341</v>
      </c>
      <c r="B10" s="409" t="s">
        <v>360</v>
      </c>
    </row>
    <row r="11" spans="1:2" ht="15.5" x14ac:dyDescent="0.3">
      <c r="A11" s="10" t="s">
        <v>342</v>
      </c>
      <c r="B11" s="409" t="s">
        <v>360</v>
      </c>
    </row>
    <row r="12" spans="1:2" ht="15.5" x14ac:dyDescent="0.3">
      <c r="A12" s="10" t="s">
        <v>343</v>
      </c>
      <c r="B12" s="409" t="s">
        <v>358</v>
      </c>
    </row>
    <row r="13" spans="1:2" ht="15.5" x14ac:dyDescent="0.3">
      <c r="A13" s="10" t="s">
        <v>123</v>
      </c>
      <c r="B13" s="409" t="s">
        <v>361</v>
      </c>
    </row>
    <row r="14" spans="1:2" ht="15.5" x14ac:dyDescent="0.3">
      <c r="A14" s="10" t="s">
        <v>338</v>
      </c>
      <c r="B14" s="409" t="s">
        <v>362</v>
      </c>
    </row>
    <row r="15" spans="1:2" ht="15.5" x14ac:dyDescent="0.3">
      <c r="A15" s="10" t="s">
        <v>339</v>
      </c>
      <c r="B15" s="409" t="s">
        <v>363</v>
      </c>
    </row>
    <row r="16" spans="1:2" ht="15.5" x14ac:dyDescent="0.3">
      <c r="A16" s="10" t="s">
        <v>124</v>
      </c>
      <c r="B16" s="409" t="s">
        <v>358</v>
      </c>
    </row>
    <row r="17" spans="1:11" ht="15.5" x14ac:dyDescent="0.3">
      <c r="A17" s="10" t="s">
        <v>243</v>
      </c>
      <c r="B17" s="409" t="s">
        <v>364</v>
      </c>
    </row>
    <row r="18" spans="1:11" ht="15.5" x14ac:dyDescent="0.3">
      <c r="A18" s="10" t="s">
        <v>125</v>
      </c>
      <c r="B18" s="409" t="s">
        <v>358</v>
      </c>
    </row>
    <row r="19" spans="1:11" ht="15.5" x14ac:dyDescent="0.3">
      <c r="A19" s="10" t="s">
        <v>126</v>
      </c>
      <c r="B19" s="409" t="s">
        <v>358</v>
      </c>
    </row>
    <row r="20" spans="1:11" ht="15.5" x14ac:dyDescent="0.3">
      <c r="A20" s="10" t="s">
        <v>340</v>
      </c>
      <c r="B20" s="409" t="s">
        <v>362</v>
      </c>
    </row>
    <row r="21" spans="1:11" ht="15.5" x14ac:dyDescent="0.3">
      <c r="A21" s="10" t="s">
        <v>344</v>
      </c>
      <c r="B21" s="409" t="s">
        <v>360</v>
      </c>
    </row>
    <row r="22" spans="1:11" ht="15.5" x14ac:dyDescent="0.3">
      <c r="A22" s="10" t="s">
        <v>127</v>
      </c>
      <c r="B22" s="409" t="s">
        <v>358</v>
      </c>
    </row>
    <row r="23" spans="1:11" ht="15.5" x14ac:dyDescent="0.3">
      <c r="A23" s="10" t="s">
        <v>345</v>
      </c>
      <c r="B23" s="409" t="s">
        <v>358</v>
      </c>
    </row>
    <row r="24" spans="1:11" ht="15.5" x14ac:dyDescent="0.3">
      <c r="A24" s="10" t="s">
        <v>129</v>
      </c>
      <c r="B24" s="409" t="s">
        <v>358</v>
      </c>
    </row>
    <row r="25" spans="1:11" ht="15.5" x14ac:dyDescent="0.3">
      <c r="A25" s="10" t="s">
        <v>130</v>
      </c>
      <c r="B25" s="409" t="s">
        <v>358</v>
      </c>
    </row>
    <row r="26" spans="1:11" ht="15.5" x14ac:dyDescent="0.3">
      <c r="A26" s="10" t="s">
        <v>131</v>
      </c>
      <c r="B26" s="409" t="s">
        <v>358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FB73A-B86A-4746-A878-D2FD150BD571}">
  <sheetPr codeName="Sheet6"/>
  <dimension ref="A1:K30"/>
  <sheetViews>
    <sheetView zoomScale="101" zoomScaleNormal="115" workbookViewId="0">
      <selection activeCell="F17" sqref="F17"/>
    </sheetView>
  </sheetViews>
  <sheetFormatPr defaultRowHeight="13" x14ac:dyDescent="0.3"/>
  <cols>
    <col min="1" max="2" width="29.8984375" bestFit="1" customWidth="1"/>
    <col min="3" max="3" width="14.296875" bestFit="1" customWidth="1"/>
    <col min="4" max="4" width="15.59765625" customWidth="1"/>
    <col min="5" max="5" width="13.296875" customWidth="1"/>
    <col min="6" max="6" width="15.3984375" customWidth="1"/>
    <col min="7" max="7" width="13.3984375" customWidth="1"/>
    <col min="8" max="8" width="20.59765625" customWidth="1"/>
    <col min="9" max="9" width="12.5" customWidth="1"/>
    <col min="10" max="10" width="18.796875" customWidth="1"/>
    <col min="11" max="11" width="15.5" customWidth="1"/>
  </cols>
  <sheetData>
    <row r="1" spans="1:11" ht="15.5" x14ac:dyDescent="0.3">
      <c r="A1" s="13" t="s">
        <v>217</v>
      </c>
      <c r="B1" s="13" t="s">
        <v>140</v>
      </c>
      <c r="C1" s="13" t="s">
        <v>141</v>
      </c>
      <c r="D1" s="13" t="s">
        <v>142</v>
      </c>
      <c r="E1" s="13" t="s">
        <v>143</v>
      </c>
      <c r="F1" s="13" t="s">
        <v>144</v>
      </c>
      <c r="G1" s="13" t="s">
        <v>145</v>
      </c>
      <c r="H1" s="13" t="s">
        <v>146</v>
      </c>
      <c r="I1" s="13" t="s">
        <v>147</v>
      </c>
      <c r="J1" s="13" t="s">
        <v>148</v>
      </c>
      <c r="K1" s="13" t="s">
        <v>149</v>
      </c>
    </row>
    <row r="2" spans="1:11" ht="15.5" x14ac:dyDescent="0.3">
      <c r="A2" s="10" t="s">
        <v>245</v>
      </c>
      <c r="B2" s="10">
        <v>69</v>
      </c>
      <c r="C2" s="21">
        <v>814</v>
      </c>
      <c r="D2" s="21">
        <v>195</v>
      </c>
      <c r="E2" s="21">
        <v>7.5</v>
      </c>
      <c r="F2" s="21">
        <v>2.1</v>
      </c>
      <c r="G2" s="21">
        <v>0.3</v>
      </c>
      <c r="H2" s="21">
        <v>35</v>
      </c>
      <c r="I2" s="21">
        <v>2.6</v>
      </c>
      <c r="J2" s="21">
        <v>2.7</v>
      </c>
      <c r="K2" s="21">
        <v>271</v>
      </c>
    </row>
    <row r="3" spans="1:11" ht="15.5" x14ac:dyDescent="0.3">
      <c r="A3" s="10" t="s">
        <v>244</v>
      </c>
      <c r="B3" s="10">
        <v>67</v>
      </c>
      <c r="C3" s="21">
        <v>817</v>
      </c>
      <c r="D3" s="21">
        <v>195</v>
      </c>
      <c r="E3" s="21">
        <v>7.4</v>
      </c>
      <c r="F3" s="21">
        <v>2.1</v>
      </c>
      <c r="G3" s="21">
        <v>0.3</v>
      </c>
      <c r="H3" s="21">
        <v>35.200000000000003</v>
      </c>
      <c r="I3" s="21">
        <v>2.7</v>
      </c>
      <c r="J3" s="21">
        <v>1.8</v>
      </c>
      <c r="K3" s="21">
        <v>239</v>
      </c>
    </row>
    <row r="4" spans="1:11" ht="15.5" x14ac:dyDescent="0.3">
      <c r="A4" s="10" t="s">
        <v>246</v>
      </c>
      <c r="B4" s="10">
        <v>79</v>
      </c>
      <c r="C4" s="21">
        <v>1020</v>
      </c>
      <c r="D4" s="21">
        <v>244</v>
      </c>
      <c r="E4" s="21">
        <v>10.6</v>
      </c>
      <c r="F4" s="21">
        <v>4.5</v>
      </c>
      <c r="G4" s="21">
        <v>0.7</v>
      </c>
      <c r="H4" s="21">
        <v>37.799999999999997</v>
      </c>
      <c r="I4" s="21">
        <v>2.6</v>
      </c>
      <c r="J4" s="21">
        <v>4.7</v>
      </c>
      <c r="K4" s="21">
        <v>364</v>
      </c>
    </row>
    <row r="5" spans="1:11" ht="15.5" x14ac:dyDescent="0.3">
      <c r="A5" s="10" t="s">
        <v>247</v>
      </c>
      <c r="B5" s="10">
        <v>78.400000000000006</v>
      </c>
      <c r="C5" s="21">
        <v>976</v>
      </c>
      <c r="D5" s="21">
        <v>233</v>
      </c>
      <c r="E5" s="21">
        <v>9.4</v>
      </c>
      <c r="F5" s="21">
        <v>4.5</v>
      </c>
      <c r="G5" s="21">
        <v>2</v>
      </c>
      <c r="H5" s="21">
        <v>37.4</v>
      </c>
      <c r="I5" s="21">
        <v>2.8</v>
      </c>
      <c r="J5" s="21">
        <v>2.1</v>
      </c>
      <c r="K5" s="21">
        <v>424</v>
      </c>
    </row>
    <row r="6" spans="1:11" ht="15.5" x14ac:dyDescent="0.3">
      <c r="A6" s="10" t="s">
        <v>248</v>
      </c>
      <c r="B6" s="10">
        <v>77.599999999999994</v>
      </c>
      <c r="C6" s="21">
        <v>954</v>
      </c>
      <c r="D6" s="21">
        <v>228</v>
      </c>
      <c r="E6" s="21">
        <v>7.9</v>
      </c>
      <c r="F6" s="21">
        <v>2.2999999999999998</v>
      </c>
      <c r="G6" s="21">
        <v>0.4</v>
      </c>
      <c r="H6" s="21">
        <v>42.2</v>
      </c>
      <c r="I6" s="21">
        <v>5.0999999999999996</v>
      </c>
      <c r="J6" s="21">
        <v>2.1</v>
      </c>
      <c r="K6" s="21">
        <v>867</v>
      </c>
    </row>
    <row r="27" ht="15.5" customHeight="1" x14ac:dyDescent="0.3"/>
    <row r="28" ht="15.5" customHeight="1" x14ac:dyDescent="0.3"/>
    <row r="29" ht="15.5" customHeight="1" x14ac:dyDescent="0.3"/>
    <row r="30" ht="15.5" customHeight="1" x14ac:dyDescent="0.3"/>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98ECA-C4EA-44C5-8155-083F35FA216A}">
  <sheetPr codeName="Sheet15"/>
  <dimension ref="A1:F39"/>
  <sheetViews>
    <sheetView topLeftCell="A6" zoomScale="59" zoomScaleNormal="59" workbookViewId="0">
      <selection activeCell="F21" sqref="F21"/>
    </sheetView>
  </sheetViews>
  <sheetFormatPr defaultRowHeight="13" x14ac:dyDescent="0.3"/>
  <cols>
    <col min="1" max="1" width="47.3984375" bestFit="1" customWidth="1"/>
    <col min="2" max="2" width="40.3984375" customWidth="1"/>
    <col min="3" max="3" width="47.3984375" bestFit="1" customWidth="1"/>
    <col min="4" max="4" width="16.69921875" bestFit="1" customWidth="1"/>
    <col min="6" max="6" width="16.8984375" bestFit="1" customWidth="1"/>
  </cols>
  <sheetData>
    <row r="1" spans="1:6" ht="21" x14ac:dyDescent="0.3">
      <c r="A1" s="22" t="s">
        <v>331</v>
      </c>
      <c r="B1" s="22"/>
      <c r="C1" s="22"/>
      <c r="D1" s="22"/>
    </row>
    <row r="2" spans="1:6" ht="21" x14ac:dyDescent="0.3">
      <c r="A2" s="23" t="s">
        <v>252</v>
      </c>
      <c r="B2" s="23" t="s">
        <v>217</v>
      </c>
      <c r="C2" s="23" t="s">
        <v>219</v>
      </c>
      <c r="D2" s="23" t="s">
        <v>218</v>
      </c>
    </row>
    <row r="3" spans="1:6" ht="21" x14ac:dyDescent="0.3">
      <c r="A3" s="24" t="s">
        <v>245</v>
      </c>
      <c r="B3" s="24" t="s">
        <v>245</v>
      </c>
      <c r="C3" s="24" t="s">
        <v>245</v>
      </c>
      <c r="D3" s="24" t="s">
        <v>249</v>
      </c>
    </row>
    <row r="4" spans="1:6" ht="21" x14ac:dyDescent="0.3">
      <c r="A4" s="24" t="s">
        <v>244</v>
      </c>
      <c r="B4" s="24" t="s">
        <v>244</v>
      </c>
      <c r="C4" s="24" t="s">
        <v>244</v>
      </c>
      <c r="D4" s="24" t="s">
        <v>250</v>
      </c>
    </row>
    <row r="5" spans="1:6" ht="21" x14ac:dyDescent="0.3">
      <c r="A5" s="24" t="s">
        <v>246</v>
      </c>
      <c r="B5" s="24" t="s">
        <v>246</v>
      </c>
      <c r="C5" s="24"/>
      <c r="D5" s="24"/>
    </row>
    <row r="6" spans="1:6" ht="21" x14ac:dyDescent="0.3">
      <c r="A6" s="24" t="s">
        <v>247</v>
      </c>
      <c r="B6" s="24" t="s">
        <v>247</v>
      </c>
      <c r="C6" s="24"/>
      <c r="D6" s="24"/>
      <c r="F6" s="40"/>
    </row>
    <row r="7" spans="1:6" ht="21" x14ac:dyDescent="0.3">
      <c r="A7" s="24" t="s">
        <v>248</v>
      </c>
      <c r="B7" s="24" t="s">
        <v>248</v>
      </c>
      <c r="C7" s="24"/>
      <c r="D7" s="24"/>
    </row>
    <row r="8" spans="1:6" ht="21" x14ac:dyDescent="0.3">
      <c r="A8" s="25"/>
      <c r="B8" s="25"/>
      <c r="C8" s="25"/>
      <c r="D8" s="25"/>
    </row>
    <row r="9" spans="1:6" ht="21" x14ac:dyDescent="0.3">
      <c r="A9" s="27" t="s">
        <v>266</v>
      </c>
      <c r="B9" s="28"/>
      <c r="C9" s="28"/>
    </row>
    <row r="10" spans="1:6" ht="21" x14ac:dyDescent="0.3">
      <c r="A10" s="23" t="s">
        <v>281</v>
      </c>
      <c r="B10" s="23" t="s">
        <v>219</v>
      </c>
      <c r="C10" s="23" t="s">
        <v>218</v>
      </c>
    </row>
    <row r="11" spans="1:6" ht="21" x14ac:dyDescent="0.3">
      <c r="A11" s="24" t="s">
        <v>337</v>
      </c>
      <c r="B11" s="24" t="s">
        <v>123</v>
      </c>
      <c r="C11" s="24" t="s">
        <v>119</v>
      </c>
    </row>
    <row r="12" spans="1:6" ht="21" x14ac:dyDescent="0.3">
      <c r="A12" s="24" t="s">
        <v>241</v>
      </c>
      <c r="B12" s="24" t="s">
        <v>125</v>
      </c>
      <c r="C12" s="24" t="s">
        <v>336</v>
      </c>
    </row>
    <row r="13" spans="1:6" ht="21" x14ac:dyDescent="0.3">
      <c r="A13" s="24" t="s">
        <v>242</v>
      </c>
      <c r="B13" s="24" t="s">
        <v>129</v>
      </c>
      <c r="C13" s="24" t="s">
        <v>120</v>
      </c>
    </row>
    <row r="14" spans="1:6" ht="21" x14ac:dyDescent="0.3">
      <c r="A14" s="24" t="s">
        <v>119</v>
      </c>
      <c r="B14" s="24" t="s">
        <v>130</v>
      </c>
      <c r="C14" s="24" t="s">
        <v>122</v>
      </c>
    </row>
    <row r="15" spans="1:6" ht="21" x14ac:dyDescent="0.3">
      <c r="A15" s="24" t="s">
        <v>336</v>
      </c>
      <c r="B15" s="24"/>
      <c r="C15" s="24" t="s">
        <v>343</v>
      </c>
    </row>
    <row r="16" spans="1:6" ht="21" x14ac:dyDescent="0.3">
      <c r="A16" s="24" t="s">
        <v>120</v>
      </c>
      <c r="B16" s="24"/>
      <c r="C16" s="24" t="s">
        <v>123</v>
      </c>
    </row>
    <row r="17" spans="1:3" ht="21" x14ac:dyDescent="0.3">
      <c r="A17" s="24" t="s">
        <v>121</v>
      </c>
      <c r="B17" s="24"/>
      <c r="C17" s="24" t="s">
        <v>338</v>
      </c>
    </row>
    <row r="18" spans="1:3" ht="21" x14ac:dyDescent="0.3">
      <c r="A18" s="24" t="s">
        <v>122</v>
      </c>
      <c r="B18" s="24"/>
      <c r="C18" s="24" t="s">
        <v>339</v>
      </c>
    </row>
    <row r="19" spans="1:3" ht="21" x14ac:dyDescent="0.3">
      <c r="A19" s="24" t="s">
        <v>341</v>
      </c>
      <c r="B19" s="24"/>
      <c r="C19" s="24" t="s">
        <v>124</v>
      </c>
    </row>
    <row r="20" spans="1:3" ht="21" x14ac:dyDescent="0.3">
      <c r="A20" s="24" t="s">
        <v>342</v>
      </c>
      <c r="B20" s="24"/>
      <c r="C20" s="24" t="s">
        <v>126</v>
      </c>
    </row>
    <row r="21" spans="1:3" ht="21" x14ac:dyDescent="0.3">
      <c r="A21" s="24" t="s">
        <v>343</v>
      </c>
      <c r="B21" s="24"/>
      <c r="C21" s="24" t="s">
        <v>340</v>
      </c>
    </row>
    <row r="22" spans="1:3" ht="21" x14ac:dyDescent="0.3">
      <c r="A22" s="24" t="s">
        <v>123</v>
      </c>
      <c r="B22" s="24"/>
      <c r="C22" s="24" t="s">
        <v>127</v>
      </c>
    </row>
    <row r="23" spans="1:3" ht="21" x14ac:dyDescent="0.3">
      <c r="A23" s="24" t="s">
        <v>338</v>
      </c>
      <c r="B23" s="24"/>
      <c r="C23" s="24" t="s">
        <v>345</v>
      </c>
    </row>
    <row r="24" spans="1:3" ht="21" x14ac:dyDescent="0.3">
      <c r="A24" s="24" t="s">
        <v>339</v>
      </c>
      <c r="B24" s="24"/>
      <c r="C24" s="24" t="s">
        <v>129</v>
      </c>
    </row>
    <row r="25" spans="1:3" ht="21" x14ac:dyDescent="0.3">
      <c r="A25" s="24" t="s">
        <v>124</v>
      </c>
      <c r="B25" s="24"/>
      <c r="C25" s="24" t="s">
        <v>130</v>
      </c>
    </row>
    <row r="26" spans="1:3" ht="21" x14ac:dyDescent="0.3">
      <c r="A26" s="24" t="s">
        <v>243</v>
      </c>
      <c r="B26" s="24"/>
      <c r="C26" s="24" t="s">
        <v>131</v>
      </c>
    </row>
    <row r="27" spans="1:3" ht="21" x14ac:dyDescent="0.3">
      <c r="A27" s="24" t="s">
        <v>125</v>
      </c>
      <c r="B27" s="24"/>
      <c r="C27" s="110"/>
    </row>
    <row r="28" spans="1:3" ht="21" x14ac:dyDescent="0.3">
      <c r="A28" s="24" t="s">
        <v>126</v>
      </c>
      <c r="B28" s="24"/>
      <c r="C28" s="24"/>
    </row>
    <row r="29" spans="1:3" ht="21" x14ac:dyDescent="0.3">
      <c r="A29" s="24" t="s">
        <v>340</v>
      </c>
      <c r="B29" s="24"/>
      <c r="C29" s="24"/>
    </row>
    <row r="30" spans="1:3" ht="21" x14ac:dyDescent="0.3">
      <c r="A30" s="24" t="s">
        <v>344</v>
      </c>
      <c r="B30" s="24"/>
      <c r="C30" s="24"/>
    </row>
    <row r="31" spans="1:3" ht="21" x14ac:dyDescent="0.3">
      <c r="A31" s="24" t="s">
        <v>127</v>
      </c>
      <c r="B31" s="24"/>
      <c r="C31" s="24"/>
    </row>
    <row r="32" spans="1:3" ht="21" x14ac:dyDescent="0.3">
      <c r="A32" s="24" t="s">
        <v>345</v>
      </c>
      <c r="B32" s="24"/>
      <c r="C32" s="24"/>
    </row>
    <row r="33" spans="1:4" ht="21" x14ac:dyDescent="0.3">
      <c r="A33" s="24" t="s">
        <v>129</v>
      </c>
      <c r="B33" s="24"/>
      <c r="C33" s="24"/>
    </row>
    <row r="34" spans="1:4" ht="21" x14ac:dyDescent="0.3">
      <c r="A34" s="24" t="s">
        <v>130</v>
      </c>
      <c r="B34" s="24"/>
      <c r="C34" s="24"/>
    </row>
    <row r="35" spans="1:4" ht="21" x14ac:dyDescent="0.3">
      <c r="A35" s="24" t="s">
        <v>131</v>
      </c>
      <c r="B35" s="24"/>
      <c r="C35" s="24"/>
    </row>
    <row r="36" spans="1:4" ht="21" x14ac:dyDescent="0.3">
      <c r="A36" s="407"/>
      <c r="B36" s="407"/>
      <c r="C36" s="407"/>
      <c r="D36" s="408"/>
    </row>
    <row r="37" spans="1:4" ht="21" x14ac:dyDescent="0.3">
      <c r="A37" s="407"/>
      <c r="B37" s="407"/>
      <c r="C37" s="407"/>
      <c r="D37" s="408"/>
    </row>
    <row r="38" spans="1:4" ht="21" x14ac:dyDescent="0.3">
      <c r="A38" s="407"/>
      <c r="B38" s="407"/>
      <c r="C38" s="407"/>
      <c r="D38" s="408"/>
    </row>
    <row r="39" spans="1:4" ht="21" x14ac:dyDescent="0.3">
      <c r="A39" s="407"/>
      <c r="B39" s="407"/>
      <c r="C39" s="407"/>
      <c r="D39" s="408"/>
    </row>
  </sheetData>
  <sortState xmlns:xlrd2="http://schemas.microsoft.com/office/spreadsheetml/2017/richdata2" ref="C11:C39">
    <sortCondition ref="C11:C39"/>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B7C6C-A471-4A8D-B39B-8D734E7DC22A}">
  <sheetPr codeName="Sheet12"/>
  <dimension ref="A1:M15"/>
  <sheetViews>
    <sheetView zoomScale="120" zoomScaleNormal="120" workbookViewId="0">
      <selection activeCell="J3" sqref="J3"/>
    </sheetView>
  </sheetViews>
  <sheetFormatPr defaultRowHeight="13" x14ac:dyDescent="0.3"/>
  <cols>
    <col min="1" max="1" width="31" bestFit="1" customWidth="1"/>
    <col min="2" max="2" width="17.296875" bestFit="1" customWidth="1"/>
    <col min="3" max="3" width="16.59765625" bestFit="1" customWidth="1"/>
    <col min="4" max="4" width="18.19921875" bestFit="1" customWidth="1"/>
    <col min="5" max="5" width="14.09765625" bestFit="1" customWidth="1"/>
    <col min="6" max="6" width="16.19921875" bestFit="1" customWidth="1"/>
    <col min="7" max="7" width="13.796875" bestFit="1" customWidth="1"/>
    <col min="8" max="8" width="15.796875" bestFit="1" customWidth="1"/>
    <col min="9" max="9" width="13.69921875" bestFit="1" customWidth="1"/>
    <col min="10" max="10" width="21.3984375" bestFit="1" customWidth="1"/>
    <col min="11" max="11" width="13" bestFit="1" customWidth="1"/>
    <col min="12" max="12" width="19.3984375" bestFit="1" customWidth="1"/>
    <col min="13" max="13" width="16.09765625" bestFit="1" customWidth="1"/>
  </cols>
  <sheetData>
    <row r="1" spans="1:13" ht="15.5" x14ac:dyDescent="0.3">
      <c r="A1" s="10" t="s">
        <v>279</v>
      </c>
      <c r="B1" s="10" t="s">
        <v>227</v>
      </c>
      <c r="C1" s="10" t="s">
        <v>228</v>
      </c>
      <c r="D1" s="10" t="s">
        <v>140</v>
      </c>
      <c r="E1" s="10" t="s">
        <v>141</v>
      </c>
      <c r="F1" s="10" t="s">
        <v>142</v>
      </c>
      <c r="G1" s="10" t="s">
        <v>143</v>
      </c>
      <c r="H1" s="10" t="s">
        <v>144</v>
      </c>
      <c r="I1" s="10" t="s">
        <v>145</v>
      </c>
      <c r="J1" s="10" t="s">
        <v>146</v>
      </c>
      <c r="K1" s="10" t="s">
        <v>147</v>
      </c>
      <c r="L1" s="10" t="s">
        <v>148</v>
      </c>
      <c r="M1" s="10" t="s">
        <v>149</v>
      </c>
    </row>
    <row r="2" spans="1:13" ht="15.5" x14ac:dyDescent="0.3">
      <c r="A2" s="10" t="s">
        <v>238</v>
      </c>
      <c r="B2" s="10">
        <v>2</v>
      </c>
      <c r="C2" s="10" t="s">
        <v>230</v>
      </c>
      <c r="D2" s="21">
        <v>11.3</v>
      </c>
      <c r="E2" s="21">
        <v>162</v>
      </c>
      <c r="F2" s="21">
        <v>38.6</v>
      </c>
      <c r="G2" s="21">
        <v>2.2999999999999998</v>
      </c>
      <c r="H2" s="21">
        <v>3.1</v>
      </c>
      <c r="I2" s="21">
        <v>2</v>
      </c>
      <c r="J2" s="21">
        <v>0.5</v>
      </c>
      <c r="K2" s="21">
        <v>0.2</v>
      </c>
      <c r="L2" s="21">
        <v>0</v>
      </c>
      <c r="M2" s="21">
        <v>136</v>
      </c>
    </row>
    <row r="3" spans="1:13" ht="15.5" x14ac:dyDescent="0.3">
      <c r="A3" s="10" t="s">
        <v>354</v>
      </c>
      <c r="B3" s="10"/>
      <c r="C3" s="10"/>
      <c r="D3" s="21">
        <v>14.2</v>
      </c>
      <c r="E3" s="21">
        <v>171</v>
      </c>
      <c r="F3" s="21">
        <v>40.9</v>
      </c>
      <c r="G3" s="21">
        <v>3.8</v>
      </c>
      <c r="H3" s="21">
        <v>2.8</v>
      </c>
      <c r="I3" s="21">
        <v>2</v>
      </c>
      <c r="J3" s="21">
        <v>0</v>
      </c>
      <c r="K3" s="21">
        <v>0</v>
      </c>
      <c r="L3" s="21">
        <v>0</v>
      </c>
      <c r="M3" s="21">
        <v>69.599999999999994</v>
      </c>
    </row>
    <row r="4" spans="1:13" ht="15.5" x14ac:dyDescent="0.3">
      <c r="A4" s="10" t="s">
        <v>239</v>
      </c>
      <c r="B4" s="10">
        <v>2</v>
      </c>
      <c r="C4" s="10" t="s">
        <v>230</v>
      </c>
      <c r="D4" s="21">
        <v>11.3</v>
      </c>
      <c r="E4" s="21">
        <v>159</v>
      </c>
      <c r="F4" s="21">
        <v>38.1</v>
      </c>
      <c r="G4" s="21">
        <v>2.2999999999999998</v>
      </c>
      <c r="H4" s="21">
        <v>3</v>
      </c>
      <c r="I4" s="21">
        <v>2.1</v>
      </c>
      <c r="J4" s="21">
        <v>0.6</v>
      </c>
      <c r="K4" s="21">
        <v>0.3</v>
      </c>
      <c r="L4" s="21">
        <v>0</v>
      </c>
      <c r="M4" s="21">
        <v>215</v>
      </c>
    </row>
    <row r="7" spans="1:13" ht="15.5" x14ac:dyDescent="0.3">
      <c r="A7" s="10" t="s">
        <v>280</v>
      </c>
      <c r="B7" s="10" t="s">
        <v>227</v>
      </c>
      <c r="C7" s="10" t="s">
        <v>228</v>
      </c>
      <c r="D7" s="10" t="s">
        <v>140</v>
      </c>
      <c r="E7" s="10" t="s">
        <v>141</v>
      </c>
      <c r="F7" s="10" t="s">
        <v>142</v>
      </c>
      <c r="G7" s="10" t="s">
        <v>143</v>
      </c>
      <c r="H7" s="10" t="s">
        <v>144</v>
      </c>
      <c r="I7" s="10" t="s">
        <v>145</v>
      </c>
      <c r="J7" s="10" t="s">
        <v>146</v>
      </c>
      <c r="K7" s="10" t="s">
        <v>147</v>
      </c>
      <c r="L7" s="10" t="s">
        <v>148</v>
      </c>
      <c r="M7" s="10" t="s">
        <v>149</v>
      </c>
    </row>
    <row r="8" spans="1:13" ht="15.5" x14ac:dyDescent="0.3">
      <c r="A8" s="10" t="s">
        <v>238</v>
      </c>
      <c r="B8" s="10">
        <v>1</v>
      </c>
      <c r="C8" s="10" t="s">
        <v>230</v>
      </c>
      <c r="D8" s="21">
        <v>5.65</v>
      </c>
      <c r="E8" s="21">
        <v>81</v>
      </c>
      <c r="F8" s="21">
        <v>19.3</v>
      </c>
      <c r="G8" s="21">
        <v>1.1499999999999999</v>
      </c>
      <c r="H8" s="21">
        <v>1.55</v>
      </c>
      <c r="I8" s="21">
        <v>1</v>
      </c>
      <c r="J8" s="21">
        <v>0.25</v>
      </c>
      <c r="K8" s="21">
        <v>0.1</v>
      </c>
      <c r="L8" s="21">
        <v>0</v>
      </c>
      <c r="M8" s="21">
        <v>68</v>
      </c>
    </row>
    <row r="9" spans="1:13" ht="15.5" x14ac:dyDescent="0.3">
      <c r="A9" s="10" t="s">
        <v>239</v>
      </c>
      <c r="B9" s="10">
        <v>1</v>
      </c>
      <c r="C9" s="10" t="s">
        <v>230</v>
      </c>
      <c r="D9" s="21">
        <v>5.65</v>
      </c>
      <c r="E9" s="21">
        <v>79.5</v>
      </c>
      <c r="F9" s="21">
        <v>19.05</v>
      </c>
      <c r="G9" s="21">
        <v>1.1499999999999999</v>
      </c>
      <c r="H9" s="21">
        <v>1.5</v>
      </c>
      <c r="I9" s="21">
        <v>1.05</v>
      </c>
      <c r="J9" s="21">
        <v>0.3</v>
      </c>
      <c r="K9" s="21">
        <v>0.15</v>
      </c>
      <c r="L9" s="21">
        <v>0</v>
      </c>
      <c r="M9" s="21">
        <v>107.5</v>
      </c>
    </row>
    <row r="12" spans="1:13" ht="15.5" x14ac:dyDescent="0.3">
      <c r="A12" s="10"/>
      <c r="B12" s="10"/>
      <c r="C12" s="10"/>
      <c r="D12" s="10"/>
      <c r="E12" s="10"/>
      <c r="F12" s="10"/>
      <c r="G12" s="10"/>
      <c r="H12" s="10"/>
      <c r="I12" s="10"/>
      <c r="J12" s="10"/>
      <c r="K12" s="10"/>
      <c r="L12" s="10"/>
      <c r="M12" s="10"/>
    </row>
    <row r="13" spans="1:13" ht="15.5" x14ac:dyDescent="0.3">
      <c r="A13" s="10"/>
      <c r="B13" s="10"/>
      <c r="C13" s="10"/>
      <c r="D13" s="21"/>
      <c r="E13" s="21"/>
      <c r="F13" s="21"/>
      <c r="G13" s="21"/>
      <c r="H13" s="21"/>
      <c r="I13" s="21"/>
      <c r="J13" s="21"/>
      <c r="K13" s="21"/>
      <c r="L13" s="21"/>
      <c r="M13" s="21"/>
    </row>
    <row r="14" spans="1:13" ht="15.5" x14ac:dyDescent="0.3">
      <c r="A14" s="10"/>
      <c r="B14" s="10"/>
      <c r="C14" s="10"/>
      <c r="D14" s="21"/>
      <c r="E14" s="21"/>
      <c r="F14" s="21"/>
      <c r="G14" s="21"/>
      <c r="H14" s="21"/>
      <c r="I14" s="21"/>
      <c r="J14" s="21"/>
      <c r="K14" s="21"/>
      <c r="L14" s="21"/>
      <c r="M14" s="21"/>
    </row>
    <row r="15" spans="1:13" ht="15.5" x14ac:dyDescent="0.3">
      <c r="A15" s="10"/>
      <c r="B15" s="10"/>
      <c r="C15" s="10"/>
      <c r="D15" s="21"/>
      <c r="E15" s="21"/>
      <c r="F15" s="21"/>
      <c r="G15" s="21"/>
      <c r="H15" s="21"/>
      <c r="I15" s="21"/>
      <c r="J15" s="21"/>
      <c r="K15" s="21"/>
      <c r="L15" s="21"/>
      <c r="M15" s="21"/>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994D5-B703-47BA-BA7D-7B93D4A13E96}">
  <sheetPr codeName="Sheet13"/>
  <dimension ref="A1:K59"/>
  <sheetViews>
    <sheetView zoomScaleNormal="100" workbookViewId="0">
      <selection activeCell="A27" sqref="A27"/>
    </sheetView>
  </sheetViews>
  <sheetFormatPr defaultRowHeight="13" x14ac:dyDescent="0.3"/>
  <cols>
    <col min="1" max="1" width="33.796875" bestFit="1" customWidth="1"/>
    <col min="2" max="2" width="18.19921875" bestFit="1" customWidth="1"/>
    <col min="3" max="3" width="14.09765625" bestFit="1" customWidth="1"/>
    <col min="4" max="4" width="16.19921875" bestFit="1" customWidth="1"/>
    <col min="5" max="5" width="13.796875" bestFit="1" customWidth="1"/>
    <col min="6" max="6" width="15.796875" bestFit="1" customWidth="1"/>
    <col min="7" max="7" width="13.69921875" bestFit="1" customWidth="1"/>
    <col min="8" max="8" width="21.3984375" bestFit="1" customWidth="1"/>
    <col min="9" max="9" width="13" bestFit="1" customWidth="1"/>
    <col min="10" max="10" width="19.3984375" bestFit="1" customWidth="1"/>
    <col min="11" max="11" width="16.09765625" bestFit="1" customWidth="1"/>
  </cols>
  <sheetData>
    <row r="1" spans="1:11" ht="15.5" x14ac:dyDescent="0.3">
      <c r="A1" s="10" t="s">
        <v>276</v>
      </c>
      <c r="B1" s="10" t="s">
        <v>140</v>
      </c>
      <c r="C1" s="10" t="s">
        <v>141</v>
      </c>
      <c r="D1" s="10" t="s">
        <v>142</v>
      </c>
      <c r="E1" s="10" t="s">
        <v>143</v>
      </c>
      <c r="F1" s="10" t="s">
        <v>144</v>
      </c>
      <c r="G1" s="10" t="s">
        <v>145</v>
      </c>
      <c r="H1" s="10" t="s">
        <v>146</v>
      </c>
      <c r="I1" s="10" t="s">
        <v>147</v>
      </c>
      <c r="J1" s="10" t="s">
        <v>148</v>
      </c>
      <c r="K1" s="10" t="s">
        <v>149</v>
      </c>
    </row>
    <row r="2" spans="1:11" ht="15.5" x14ac:dyDescent="0.3">
      <c r="A2" s="10" t="s">
        <v>170</v>
      </c>
      <c r="B2" s="21">
        <v>8.8000000000000007</v>
      </c>
      <c r="C2" s="21">
        <v>187</v>
      </c>
      <c r="D2" s="21">
        <v>44.8</v>
      </c>
      <c r="E2" s="21">
        <v>3.3</v>
      </c>
      <c r="F2" s="21">
        <v>3.3</v>
      </c>
      <c r="G2" s="21">
        <v>1.5</v>
      </c>
      <c r="H2" s="21">
        <v>0.1</v>
      </c>
      <c r="I2" s="21">
        <v>0.1</v>
      </c>
      <c r="J2" s="21">
        <v>0</v>
      </c>
      <c r="K2" s="21">
        <v>198</v>
      </c>
    </row>
    <row r="3" spans="1:11" ht="15.5" x14ac:dyDescent="0.3">
      <c r="A3" s="10" t="s">
        <v>119</v>
      </c>
      <c r="B3" s="21">
        <v>85</v>
      </c>
      <c r="C3" s="21">
        <v>351</v>
      </c>
      <c r="D3" s="21">
        <v>83.9</v>
      </c>
      <c r="E3" s="21">
        <v>14.7</v>
      </c>
      <c r="F3" s="21">
        <v>1.8</v>
      </c>
      <c r="G3" s="21">
        <v>0.6</v>
      </c>
      <c r="H3" s="21">
        <v>3.5</v>
      </c>
      <c r="I3" s="21">
        <v>2.8</v>
      </c>
      <c r="J3" s="21">
        <v>1</v>
      </c>
      <c r="K3" s="21">
        <v>850</v>
      </c>
    </row>
    <row r="4" spans="1:11" ht="15.5" x14ac:dyDescent="0.3">
      <c r="A4" s="10" t="s">
        <v>120</v>
      </c>
      <c r="B4" s="21">
        <v>60</v>
      </c>
      <c r="C4" s="21">
        <v>529</v>
      </c>
      <c r="D4" s="21">
        <v>126</v>
      </c>
      <c r="E4" s="21">
        <v>9.5</v>
      </c>
      <c r="F4" s="21">
        <v>8</v>
      </c>
      <c r="G4" s="21">
        <v>1.7</v>
      </c>
      <c r="H4" s="21">
        <v>3.3</v>
      </c>
      <c r="I4" s="21">
        <v>0.4</v>
      </c>
      <c r="J4" s="21">
        <v>0</v>
      </c>
      <c r="K4" s="21">
        <v>390</v>
      </c>
    </row>
    <row r="5" spans="1:11" ht="15.5" x14ac:dyDescent="0.3">
      <c r="A5" s="10" t="s">
        <v>121</v>
      </c>
      <c r="B5" s="21">
        <v>64</v>
      </c>
      <c r="C5" s="21">
        <v>285</v>
      </c>
      <c r="D5" s="21">
        <v>68.2</v>
      </c>
      <c r="E5" s="21">
        <v>14.4</v>
      </c>
      <c r="F5" s="21">
        <v>1.7</v>
      </c>
      <c r="G5" s="21">
        <v>0.6</v>
      </c>
      <c r="H5" s="21">
        <v>0.6</v>
      </c>
      <c r="I5" s="21">
        <v>0.5</v>
      </c>
      <c r="J5" s="21">
        <v>0.9</v>
      </c>
      <c r="K5" s="21">
        <v>269</v>
      </c>
    </row>
    <row r="6" spans="1:11" ht="15.5" x14ac:dyDescent="0.3">
      <c r="A6" s="10" t="s">
        <v>122</v>
      </c>
      <c r="B6" s="21">
        <v>85</v>
      </c>
      <c r="C6" s="21">
        <v>421</v>
      </c>
      <c r="D6" s="21">
        <v>101</v>
      </c>
      <c r="E6" s="21">
        <v>14.5</v>
      </c>
      <c r="F6" s="21">
        <v>1.8</v>
      </c>
      <c r="G6" s="21">
        <v>0.6</v>
      </c>
      <c r="H6" s="21">
        <v>8</v>
      </c>
      <c r="I6" s="21">
        <v>4.8</v>
      </c>
      <c r="J6" s="21">
        <v>0.9</v>
      </c>
      <c r="K6" s="21">
        <v>463</v>
      </c>
    </row>
    <row r="7" spans="1:11" ht="15.5" x14ac:dyDescent="0.3">
      <c r="A7" s="10" t="s">
        <v>171</v>
      </c>
      <c r="B7" s="21">
        <v>59</v>
      </c>
      <c r="C7" s="21">
        <v>326</v>
      </c>
      <c r="D7" s="21">
        <v>77.8</v>
      </c>
      <c r="E7" s="21">
        <v>7.5</v>
      </c>
      <c r="F7" s="21">
        <v>5.3</v>
      </c>
      <c r="G7" s="21">
        <v>1.8</v>
      </c>
      <c r="H7" s="21">
        <v>0.2</v>
      </c>
      <c r="I7" s="21">
        <v>0.2</v>
      </c>
      <c r="J7" s="21">
        <v>0</v>
      </c>
      <c r="K7" s="21">
        <v>139</v>
      </c>
    </row>
    <row r="8" spans="1:11" ht="15.5" x14ac:dyDescent="0.3">
      <c r="A8" s="10" t="s">
        <v>123</v>
      </c>
      <c r="B8" s="21">
        <v>40</v>
      </c>
      <c r="C8" s="21">
        <v>167</v>
      </c>
      <c r="D8" s="21">
        <v>39.9</v>
      </c>
      <c r="E8" s="21">
        <v>7</v>
      </c>
      <c r="F8" s="21">
        <v>1.2</v>
      </c>
      <c r="G8" s="21">
        <v>0.4</v>
      </c>
      <c r="H8" s="21">
        <v>0.6</v>
      </c>
      <c r="I8" s="21">
        <v>0.6</v>
      </c>
      <c r="J8" s="21">
        <v>0</v>
      </c>
      <c r="K8" s="21">
        <v>440</v>
      </c>
    </row>
    <row r="9" spans="1:11" ht="15.5" x14ac:dyDescent="0.3">
      <c r="A9" s="10" t="s">
        <v>172</v>
      </c>
      <c r="B9" s="21">
        <v>125</v>
      </c>
      <c r="C9" s="21">
        <v>654</v>
      </c>
      <c r="D9" s="21">
        <v>156</v>
      </c>
      <c r="E9" s="21">
        <v>10.4</v>
      </c>
      <c r="F9" s="21">
        <v>7.2</v>
      </c>
      <c r="G9" s="21">
        <v>3</v>
      </c>
      <c r="H9" s="21">
        <v>9.8000000000000007</v>
      </c>
      <c r="I9" s="21">
        <v>5.0999999999999996</v>
      </c>
      <c r="J9" s="21">
        <v>1.5</v>
      </c>
      <c r="K9" s="21">
        <v>476</v>
      </c>
    </row>
    <row r="10" spans="1:11" ht="15.5" x14ac:dyDescent="0.3">
      <c r="A10" s="10" t="s">
        <v>173</v>
      </c>
      <c r="B10" s="21">
        <v>18</v>
      </c>
      <c r="C10" s="21">
        <v>297</v>
      </c>
      <c r="D10" s="21">
        <v>71</v>
      </c>
      <c r="E10" s="21">
        <v>4.0999999999999996</v>
      </c>
      <c r="F10" s="21">
        <v>5.9</v>
      </c>
      <c r="G10" s="21">
        <v>2.2999999999999998</v>
      </c>
      <c r="H10" s="21">
        <v>0.6</v>
      </c>
      <c r="I10" s="21">
        <v>0.2</v>
      </c>
      <c r="J10" s="21">
        <v>0</v>
      </c>
      <c r="K10" s="21">
        <v>270</v>
      </c>
    </row>
    <row r="11" spans="1:11" ht="15.5" x14ac:dyDescent="0.3">
      <c r="A11" s="10" t="s">
        <v>174</v>
      </c>
      <c r="B11" s="21">
        <v>77</v>
      </c>
      <c r="C11" s="21">
        <v>886</v>
      </c>
      <c r="D11" s="21">
        <v>212</v>
      </c>
      <c r="E11" s="21">
        <v>11.4</v>
      </c>
      <c r="F11" s="21">
        <v>17.5</v>
      </c>
      <c r="G11" s="21">
        <v>6.1</v>
      </c>
      <c r="H11" s="21">
        <v>2.2999999999999998</v>
      </c>
      <c r="I11" s="21">
        <v>0.2</v>
      </c>
      <c r="J11" s="21">
        <v>0.9</v>
      </c>
      <c r="K11" s="21">
        <v>601</v>
      </c>
    </row>
    <row r="12" spans="1:11" ht="15.5" x14ac:dyDescent="0.3">
      <c r="A12" s="10" t="s">
        <v>125</v>
      </c>
      <c r="B12" s="21">
        <v>48</v>
      </c>
      <c r="C12" s="21">
        <v>229</v>
      </c>
      <c r="D12" s="21">
        <v>54.8</v>
      </c>
      <c r="E12" s="21">
        <v>8.3000000000000007</v>
      </c>
      <c r="F12" s="21">
        <v>1.5</v>
      </c>
      <c r="G12" s="21">
        <v>0.7</v>
      </c>
      <c r="H12" s="21">
        <v>1.2</v>
      </c>
      <c r="I12" s="21">
        <v>1</v>
      </c>
      <c r="J12" s="21">
        <v>0</v>
      </c>
      <c r="K12" s="21">
        <v>261</v>
      </c>
    </row>
    <row r="13" spans="1:11" ht="15.5" x14ac:dyDescent="0.3">
      <c r="A13" s="10" t="s">
        <v>175</v>
      </c>
      <c r="B13" s="21">
        <v>18</v>
      </c>
      <c r="C13" s="21">
        <v>297</v>
      </c>
      <c r="D13" s="21">
        <v>71</v>
      </c>
      <c r="E13" s="21">
        <v>4.0999999999999996</v>
      </c>
      <c r="F13" s="21">
        <v>5.9</v>
      </c>
      <c r="G13" s="21">
        <v>2.2999999999999998</v>
      </c>
      <c r="H13" s="21">
        <v>0.6</v>
      </c>
      <c r="I13" s="21">
        <v>0.2</v>
      </c>
      <c r="J13" s="21">
        <v>0</v>
      </c>
      <c r="K13" s="21">
        <v>270</v>
      </c>
    </row>
    <row r="14" spans="1:11" ht="15.5" x14ac:dyDescent="0.3">
      <c r="A14" s="10" t="s">
        <v>126</v>
      </c>
      <c r="B14" s="21">
        <v>75</v>
      </c>
      <c r="C14" s="21">
        <v>682</v>
      </c>
      <c r="D14" s="21">
        <v>163</v>
      </c>
      <c r="E14" s="21">
        <v>6.6</v>
      </c>
      <c r="F14" s="21">
        <v>5.9</v>
      </c>
      <c r="G14" s="21">
        <v>1</v>
      </c>
      <c r="H14" s="21">
        <v>17.600000000000001</v>
      </c>
      <c r="I14" s="21">
        <v>3.8</v>
      </c>
      <c r="J14" s="21">
        <v>3.2</v>
      </c>
      <c r="K14" s="21">
        <v>662</v>
      </c>
    </row>
    <row r="15" spans="1:11" ht="15.5" x14ac:dyDescent="0.3">
      <c r="A15" s="10" t="s">
        <v>176</v>
      </c>
      <c r="B15" s="21">
        <v>64</v>
      </c>
      <c r="C15" s="21">
        <v>435</v>
      </c>
      <c r="D15" s="21">
        <v>104</v>
      </c>
      <c r="E15" s="21">
        <v>14.5</v>
      </c>
      <c r="F15" s="21">
        <v>4.5</v>
      </c>
      <c r="G15" s="21">
        <v>2</v>
      </c>
      <c r="H15" s="21">
        <v>0.6</v>
      </c>
      <c r="I15" s="21">
        <v>0.5</v>
      </c>
      <c r="J15" s="21">
        <v>0</v>
      </c>
      <c r="K15" s="21">
        <v>358</v>
      </c>
    </row>
    <row r="16" spans="1:11" ht="15.5" x14ac:dyDescent="0.3">
      <c r="A16" s="10" t="s">
        <v>127</v>
      </c>
      <c r="B16" s="21">
        <v>105</v>
      </c>
      <c r="C16" s="21">
        <v>899</v>
      </c>
      <c r="D16" s="21">
        <v>215</v>
      </c>
      <c r="E16" s="21">
        <v>20.8</v>
      </c>
      <c r="F16" s="21">
        <v>11.8</v>
      </c>
      <c r="G16" s="21">
        <v>2</v>
      </c>
      <c r="H16" s="21">
        <v>9.5</v>
      </c>
      <c r="I16" s="21">
        <v>0.7</v>
      </c>
      <c r="J16" s="21">
        <v>0</v>
      </c>
      <c r="K16" s="21">
        <v>609</v>
      </c>
    </row>
    <row r="17" spans="1:11" ht="15.5" x14ac:dyDescent="0.3">
      <c r="A17" s="10" t="s">
        <v>128</v>
      </c>
      <c r="B17" s="21">
        <v>64</v>
      </c>
      <c r="C17" s="21">
        <v>315</v>
      </c>
      <c r="D17" s="21">
        <v>75.3</v>
      </c>
      <c r="E17" s="21">
        <v>10.199999999999999</v>
      </c>
      <c r="F17" s="21">
        <v>2.2000000000000002</v>
      </c>
      <c r="G17" s="21">
        <v>0.4</v>
      </c>
      <c r="H17" s="21">
        <v>3.6</v>
      </c>
      <c r="I17" s="21">
        <v>2.4</v>
      </c>
      <c r="J17" s="21">
        <v>0</v>
      </c>
      <c r="K17" s="21">
        <v>271</v>
      </c>
    </row>
    <row r="18" spans="1:11" ht="15.5" x14ac:dyDescent="0.3">
      <c r="A18" s="10" t="s">
        <v>129</v>
      </c>
      <c r="B18" s="21">
        <v>54</v>
      </c>
      <c r="C18" s="21">
        <v>240</v>
      </c>
      <c r="D18" s="21">
        <v>57.4</v>
      </c>
      <c r="E18" s="21">
        <v>11.4</v>
      </c>
      <c r="F18" s="21">
        <v>0.5</v>
      </c>
      <c r="G18" s="21">
        <v>0.5</v>
      </c>
      <c r="H18" s="21">
        <v>1.5</v>
      </c>
      <c r="I18" s="21">
        <v>0.5</v>
      </c>
      <c r="J18" s="21">
        <v>0</v>
      </c>
      <c r="K18" s="21">
        <v>359</v>
      </c>
    </row>
    <row r="19" spans="1:11" ht="15.5" x14ac:dyDescent="0.3">
      <c r="A19" s="10" t="s">
        <v>131</v>
      </c>
      <c r="B19" s="21">
        <v>90</v>
      </c>
      <c r="C19" s="21">
        <v>803</v>
      </c>
      <c r="D19" s="21">
        <v>191.9</v>
      </c>
      <c r="E19" s="21">
        <v>7.6</v>
      </c>
      <c r="F19" s="21">
        <v>9.4</v>
      </c>
      <c r="G19" s="21">
        <v>1.8</v>
      </c>
      <c r="H19" s="21">
        <v>16.5</v>
      </c>
      <c r="I19" s="21">
        <v>2.5</v>
      </c>
      <c r="J19" s="21">
        <v>6.2</v>
      </c>
      <c r="K19" s="21">
        <v>324</v>
      </c>
    </row>
    <row r="21" spans="1:11" ht="15.5" x14ac:dyDescent="0.3">
      <c r="A21" s="10"/>
      <c r="B21" s="10"/>
      <c r="C21" s="10"/>
      <c r="D21" s="10"/>
      <c r="E21" s="10"/>
      <c r="F21" s="10"/>
      <c r="G21" s="10"/>
      <c r="H21" s="10"/>
      <c r="I21" s="10"/>
      <c r="J21" s="10"/>
      <c r="K21" s="10"/>
    </row>
    <row r="22" spans="1:11" ht="15.5" x14ac:dyDescent="0.3">
      <c r="A22" s="10"/>
      <c r="B22" s="21"/>
      <c r="C22" s="21"/>
      <c r="D22" s="21"/>
      <c r="E22" s="21"/>
      <c r="F22" s="21"/>
      <c r="G22" s="21"/>
      <c r="H22" s="21"/>
      <c r="I22" s="21"/>
      <c r="J22" s="21"/>
      <c r="K22" s="21"/>
    </row>
    <row r="23" spans="1:11" ht="15.5" x14ac:dyDescent="0.3">
      <c r="A23" s="10"/>
      <c r="B23" s="21"/>
      <c r="C23" s="21"/>
      <c r="D23" s="21"/>
      <c r="E23" s="21"/>
      <c r="F23" s="21"/>
      <c r="G23" s="21"/>
      <c r="H23" s="21"/>
      <c r="I23" s="21"/>
      <c r="J23" s="21"/>
      <c r="K23" s="21"/>
    </row>
    <row r="24" spans="1:11" ht="15.5" x14ac:dyDescent="0.3">
      <c r="A24" s="10"/>
      <c r="B24" s="21"/>
      <c r="C24" s="21"/>
      <c r="D24" s="21"/>
      <c r="E24" s="21"/>
      <c r="F24" s="21"/>
      <c r="G24" s="21"/>
      <c r="H24" s="21"/>
      <c r="I24" s="21"/>
      <c r="J24" s="21"/>
      <c r="K24" s="21"/>
    </row>
    <row r="25" spans="1:11" ht="15.5" x14ac:dyDescent="0.3">
      <c r="A25" s="10"/>
      <c r="B25" s="21"/>
      <c r="C25" s="21"/>
      <c r="D25" s="21"/>
      <c r="E25" s="21"/>
      <c r="F25" s="21"/>
      <c r="G25" s="21"/>
      <c r="H25" s="21"/>
      <c r="I25" s="21"/>
      <c r="J25" s="21"/>
      <c r="K25" s="21"/>
    </row>
    <row r="26" spans="1:11" ht="15.5" x14ac:dyDescent="0.3">
      <c r="A26" s="10"/>
      <c r="B26" s="21"/>
      <c r="C26" s="21"/>
      <c r="D26" s="21"/>
      <c r="E26" s="21"/>
      <c r="F26" s="21"/>
      <c r="G26" s="21"/>
      <c r="H26" s="21"/>
      <c r="I26" s="21"/>
      <c r="J26" s="21"/>
      <c r="K26" s="21"/>
    </row>
    <row r="27" spans="1:11" ht="15.5" x14ac:dyDescent="0.3">
      <c r="A27" s="10"/>
      <c r="B27" s="21"/>
      <c r="C27" s="21"/>
      <c r="D27" s="21"/>
      <c r="E27" s="21"/>
      <c r="F27" s="21"/>
      <c r="G27" s="21"/>
      <c r="H27" s="21"/>
      <c r="I27" s="21"/>
      <c r="J27" s="21"/>
      <c r="K27" s="21"/>
    </row>
    <row r="28" spans="1:11" ht="15.5" x14ac:dyDescent="0.3">
      <c r="A28" s="10"/>
      <c r="B28" s="21"/>
      <c r="C28" s="21"/>
      <c r="D28" s="21"/>
      <c r="E28" s="21"/>
      <c r="F28" s="21"/>
      <c r="G28" s="21"/>
      <c r="H28" s="21"/>
      <c r="I28" s="21"/>
      <c r="J28" s="21"/>
      <c r="K28" s="21"/>
    </row>
    <row r="29" spans="1:11" ht="15.5" x14ac:dyDescent="0.3">
      <c r="A29" s="10"/>
      <c r="B29" s="21"/>
      <c r="C29" s="21"/>
      <c r="D29" s="21"/>
      <c r="E29" s="21"/>
      <c r="F29" s="21"/>
      <c r="G29" s="21"/>
      <c r="H29" s="21"/>
      <c r="I29" s="21"/>
      <c r="J29" s="21"/>
      <c r="K29" s="21"/>
    </row>
    <row r="30" spans="1:11" ht="15.5" x14ac:dyDescent="0.3">
      <c r="A30" s="10"/>
      <c r="B30" s="21"/>
      <c r="C30" s="21"/>
      <c r="D30" s="21"/>
      <c r="E30" s="21"/>
      <c r="F30" s="21"/>
      <c r="G30" s="21"/>
      <c r="H30" s="21"/>
      <c r="I30" s="21"/>
      <c r="J30" s="21"/>
      <c r="K30" s="21"/>
    </row>
    <row r="31" spans="1:11" ht="15.5" x14ac:dyDescent="0.3">
      <c r="A31" s="10"/>
      <c r="B31" s="21"/>
      <c r="C31" s="21"/>
      <c r="D31" s="21"/>
      <c r="E31" s="21"/>
      <c r="F31" s="21"/>
      <c r="G31" s="21"/>
      <c r="H31" s="21"/>
      <c r="I31" s="21"/>
      <c r="J31" s="21"/>
      <c r="K31" s="21"/>
    </row>
    <row r="32" spans="1:11" ht="15.5" x14ac:dyDescent="0.3">
      <c r="A32" s="10"/>
      <c r="B32" s="21"/>
      <c r="C32" s="21"/>
      <c r="D32" s="21"/>
      <c r="E32" s="21"/>
      <c r="F32" s="21"/>
      <c r="G32" s="21"/>
      <c r="H32" s="21"/>
      <c r="I32" s="21"/>
      <c r="J32" s="21"/>
      <c r="K32" s="21"/>
    </row>
    <row r="33" spans="1:11" ht="15.5" x14ac:dyDescent="0.3">
      <c r="A33" s="10"/>
      <c r="B33" s="21"/>
      <c r="C33" s="21"/>
      <c r="D33" s="21"/>
      <c r="E33" s="21"/>
      <c r="F33" s="21"/>
      <c r="G33" s="21"/>
      <c r="H33" s="21"/>
      <c r="I33" s="21"/>
      <c r="J33" s="21"/>
      <c r="K33" s="21"/>
    </row>
    <row r="34" spans="1:11" ht="15.5" x14ac:dyDescent="0.3">
      <c r="A34" s="10"/>
      <c r="B34" s="21"/>
      <c r="C34" s="21"/>
      <c r="D34" s="21"/>
      <c r="E34" s="21"/>
      <c r="F34" s="21"/>
      <c r="G34" s="21"/>
      <c r="H34" s="21"/>
      <c r="I34" s="21"/>
      <c r="J34" s="21"/>
      <c r="K34" s="21"/>
    </row>
    <row r="35" spans="1:11" ht="15.5" x14ac:dyDescent="0.3">
      <c r="A35" s="10"/>
      <c r="B35" s="21"/>
      <c r="C35" s="21"/>
      <c r="D35" s="21"/>
      <c r="E35" s="21"/>
      <c r="F35" s="21"/>
      <c r="G35" s="21"/>
      <c r="H35" s="21"/>
      <c r="I35" s="21"/>
      <c r="J35" s="21"/>
      <c r="K35" s="21"/>
    </row>
    <row r="36" spans="1:11" ht="15.5" x14ac:dyDescent="0.3">
      <c r="A36" s="10"/>
      <c r="B36" s="21"/>
      <c r="C36" s="21"/>
      <c r="D36" s="21"/>
      <c r="E36" s="21"/>
      <c r="F36" s="21"/>
      <c r="G36" s="21"/>
      <c r="H36" s="21"/>
      <c r="I36" s="21"/>
      <c r="J36" s="21"/>
      <c r="K36" s="21"/>
    </row>
    <row r="37" spans="1:11" ht="15.5" x14ac:dyDescent="0.3">
      <c r="A37" s="10"/>
      <c r="B37" s="21"/>
      <c r="C37" s="21"/>
      <c r="D37" s="21"/>
      <c r="E37" s="21"/>
      <c r="F37" s="21"/>
      <c r="G37" s="21"/>
      <c r="H37" s="21"/>
      <c r="I37" s="21"/>
      <c r="J37" s="21"/>
      <c r="K37" s="21"/>
    </row>
    <row r="38" spans="1:11" ht="15.5" x14ac:dyDescent="0.3">
      <c r="A38" s="10"/>
      <c r="B38" s="21"/>
      <c r="C38" s="21"/>
      <c r="D38" s="21"/>
      <c r="E38" s="21"/>
      <c r="F38" s="21"/>
      <c r="G38" s="21"/>
      <c r="H38" s="21"/>
      <c r="I38" s="21"/>
      <c r="J38" s="21"/>
      <c r="K38" s="21"/>
    </row>
    <row r="39" spans="1:11" ht="15.5" x14ac:dyDescent="0.3">
      <c r="A39" s="10"/>
      <c r="B39" s="21"/>
      <c r="C39" s="21"/>
      <c r="D39" s="21"/>
      <c r="E39" s="21"/>
      <c r="F39" s="21"/>
      <c r="G39" s="21"/>
      <c r="H39" s="21"/>
      <c r="I39" s="21"/>
      <c r="J39" s="21"/>
      <c r="K39" s="21"/>
    </row>
    <row r="41" spans="1:11" ht="15.5" x14ac:dyDescent="0.3">
      <c r="A41" s="10"/>
      <c r="B41" s="10"/>
      <c r="C41" s="10"/>
      <c r="D41" s="10"/>
      <c r="E41" s="10"/>
      <c r="F41" s="10"/>
      <c r="G41" s="10"/>
      <c r="H41" s="10"/>
      <c r="I41" s="10"/>
      <c r="J41" s="10"/>
      <c r="K41" s="10"/>
    </row>
    <row r="42" spans="1:11" ht="15.5" x14ac:dyDescent="0.3">
      <c r="A42" s="10"/>
      <c r="B42" s="21"/>
      <c r="C42" s="21"/>
      <c r="D42" s="21"/>
      <c r="E42" s="21"/>
      <c r="F42" s="21"/>
      <c r="G42" s="21"/>
      <c r="H42" s="21"/>
      <c r="I42" s="21"/>
      <c r="J42" s="21"/>
      <c r="K42" s="21"/>
    </row>
    <row r="43" spans="1:11" ht="15.5" x14ac:dyDescent="0.3">
      <c r="A43" s="10"/>
      <c r="B43" s="21"/>
      <c r="C43" s="21"/>
      <c r="D43" s="21"/>
      <c r="E43" s="21"/>
      <c r="F43" s="21"/>
      <c r="G43" s="21"/>
      <c r="H43" s="21"/>
      <c r="I43" s="21"/>
      <c r="J43" s="21"/>
      <c r="K43" s="21"/>
    </row>
    <row r="44" spans="1:11" ht="15.5" x14ac:dyDescent="0.3">
      <c r="A44" s="10"/>
      <c r="B44" s="21"/>
      <c r="C44" s="21"/>
      <c r="D44" s="21"/>
      <c r="E44" s="21"/>
      <c r="F44" s="21"/>
      <c r="G44" s="21"/>
      <c r="H44" s="21"/>
      <c r="I44" s="21"/>
      <c r="J44" s="21"/>
      <c r="K44" s="21"/>
    </row>
    <row r="45" spans="1:11" ht="15.5" x14ac:dyDescent="0.3">
      <c r="A45" s="10"/>
      <c r="B45" s="21"/>
      <c r="C45" s="21"/>
      <c r="D45" s="21"/>
      <c r="E45" s="21"/>
      <c r="F45" s="21"/>
      <c r="G45" s="21"/>
      <c r="H45" s="21"/>
      <c r="I45" s="21"/>
      <c r="J45" s="21"/>
      <c r="K45" s="21"/>
    </row>
    <row r="46" spans="1:11" ht="15.5" x14ac:dyDescent="0.3">
      <c r="A46" s="10"/>
      <c r="B46" s="21"/>
      <c r="C46" s="21"/>
      <c r="D46" s="21"/>
      <c r="E46" s="21"/>
      <c r="F46" s="21"/>
      <c r="G46" s="21"/>
      <c r="H46" s="21"/>
      <c r="I46" s="21"/>
      <c r="J46" s="21"/>
      <c r="K46" s="21"/>
    </row>
    <row r="47" spans="1:11" ht="15.5" x14ac:dyDescent="0.3">
      <c r="A47" s="10"/>
      <c r="B47" s="21"/>
      <c r="C47" s="21"/>
      <c r="D47" s="21"/>
      <c r="E47" s="21"/>
      <c r="F47" s="21"/>
      <c r="G47" s="21"/>
      <c r="H47" s="21"/>
      <c r="I47" s="21"/>
      <c r="J47" s="21"/>
      <c r="K47" s="21"/>
    </row>
    <row r="48" spans="1:11" ht="15.5" x14ac:dyDescent="0.3">
      <c r="A48" s="10"/>
      <c r="B48" s="21"/>
      <c r="C48" s="21"/>
      <c r="D48" s="21"/>
      <c r="E48" s="21"/>
      <c r="F48" s="21"/>
      <c r="G48" s="21"/>
      <c r="H48" s="21"/>
      <c r="I48" s="21"/>
      <c r="J48" s="21"/>
      <c r="K48" s="21"/>
    </row>
    <row r="49" spans="1:11" ht="15.5" x14ac:dyDescent="0.3">
      <c r="A49" s="10"/>
      <c r="B49" s="21"/>
      <c r="C49" s="21"/>
      <c r="D49" s="21"/>
      <c r="E49" s="21"/>
      <c r="F49" s="21"/>
      <c r="G49" s="21"/>
      <c r="H49" s="21"/>
      <c r="I49" s="21"/>
      <c r="J49" s="21"/>
      <c r="K49" s="21"/>
    </row>
    <row r="50" spans="1:11" ht="15.5" x14ac:dyDescent="0.3">
      <c r="A50" s="10"/>
      <c r="B50" s="21"/>
      <c r="C50" s="21"/>
      <c r="D50" s="21"/>
      <c r="E50" s="21"/>
      <c r="F50" s="21"/>
      <c r="G50" s="21"/>
      <c r="H50" s="21"/>
      <c r="I50" s="21"/>
      <c r="J50" s="21"/>
      <c r="K50" s="21"/>
    </row>
    <row r="51" spans="1:11" ht="15.5" x14ac:dyDescent="0.3">
      <c r="A51" s="10"/>
      <c r="B51" s="21"/>
      <c r="C51" s="21"/>
      <c r="D51" s="21"/>
      <c r="E51" s="21"/>
      <c r="F51" s="21"/>
      <c r="G51" s="21"/>
      <c r="H51" s="21"/>
      <c r="I51" s="21"/>
      <c r="J51" s="21"/>
      <c r="K51" s="21"/>
    </row>
    <row r="52" spans="1:11" ht="15.5" x14ac:dyDescent="0.3">
      <c r="A52" s="10"/>
      <c r="B52" s="21"/>
      <c r="C52" s="21"/>
      <c r="D52" s="21"/>
      <c r="E52" s="21"/>
      <c r="F52" s="21"/>
      <c r="G52" s="21"/>
      <c r="H52" s="21"/>
      <c r="I52" s="21"/>
      <c r="J52" s="21"/>
      <c r="K52" s="21"/>
    </row>
    <row r="53" spans="1:11" ht="15.5" x14ac:dyDescent="0.3">
      <c r="A53" s="10"/>
      <c r="B53" s="21"/>
      <c r="C53" s="21"/>
      <c r="D53" s="21"/>
      <c r="E53" s="21"/>
      <c r="F53" s="21"/>
      <c r="G53" s="21"/>
      <c r="H53" s="21"/>
      <c r="I53" s="21"/>
      <c r="J53" s="21"/>
      <c r="K53" s="21"/>
    </row>
    <row r="54" spans="1:11" ht="15.5" x14ac:dyDescent="0.3">
      <c r="A54" s="10"/>
      <c r="B54" s="21"/>
      <c r="C54" s="21"/>
      <c r="D54" s="21"/>
      <c r="E54" s="21"/>
      <c r="F54" s="21"/>
      <c r="G54" s="21"/>
      <c r="H54" s="21"/>
      <c r="I54" s="21"/>
      <c r="J54" s="21"/>
      <c r="K54" s="21"/>
    </row>
    <row r="55" spans="1:11" ht="15.5" x14ac:dyDescent="0.3">
      <c r="A55" s="10"/>
      <c r="B55" s="21"/>
      <c r="C55" s="21"/>
      <c r="D55" s="21"/>
      <c r="E55" s="21"/>
      <c r="F55" s="21"/>
      <c r="G55" s="21"/>
      <c r="H55" s="21"/>
      <c r="I55" s="21"/>
      <c r="J55" s="21"/>
      <c r="K55" s="21"/>
    </row>
    <row r="56" spans="1:11" ht="15.5" x14ac:dyDescent="0.3">
      <c r="A56" s="10"/>
      <c r="B56" s="21"/>
      <c r="C56" s="21"/>
      <c r="D56" s="21"/>
      <c r="E56" s="21"/>
      <c r="F56" s="21"/>
      <c r="G56" s="21"/>
      <c r="H56" s="21"/>
      <c r="I56" s="21"/>
      <c r="J56" s="21"/>
      <c r="K56" s="21"/>
    </row>
    <row r="57" spans="1:11" ht="15.5" x14ac:dyDescent="0.3">
      <c r="A57" s="10"/>
      <c r="B57" s="21"/>
      <c r="C57" s="21"/>
      <c r="D57" s="21"/>
      <c r="E57" s="21"/>
      <c r="F57" s="21"/>
      <c r="G57" s="21"/>
      <c r="H57" s="21"/>
      <c r="I57" s="21"/>
      <c r="J57" s="21"/>
      <c r="K57" s="21"/>
    </row>
    <row r="58" spans="1:11" ht="15.5" x14ac:dyDescent="0.3">
      <c r="A58" s="10"/>
      <c r="B58" s="21"/>
      <c r="C58" s="21"/>
      <c r="D58" s="21"/>
      <c r="E58" s="21"/>
      <c r="F58" s="21"/>
      <c r="G58" s="21"/>
      <c r="H58" s="21"/>
      <c r="I58" s="21"/>
      <c r="J58" s="21"/>
      <c r="K58" s="21"/>
    </row>
    <row r="59" spans="1:11" ht="15.5" x14ac:dyDescent="0.3">
      <c r="A59" s="10"/>
      <c r="B59" s="21"/>
      <c r="C59" s="21"/>
      <c r="D59" s="21"/>
      <c r="E59" s="21"/>
      <c r="F59" s="21"/>
      <c r="G59" s="21"/>
      <c r="H59" s="21"/>
      <c r="I59" s="21"/>
      <c r="J59" s="21"/>
      <c r="K59" s="2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F701C-D17C-4EE7-8EBF-6CDD5B004F7F}">
  <sheetPr codeName="Sheet1">
    <pageSetUpPr autoPageBreaks="0"/>
  </sheetPr>
  <dimension ref="A1:AJ45"/>
  <sheetViews>
    <sheetView topLeftCell="N1" zoomScale="121" zoomScaleNormal="100" zoomScaleSheetLayoutView="40" workbookViewId="0">
      <selection activeCell="X6" sqref="X6"/>
    </sheetView>
  </sheetViews>
  <sheetFormatPr defaultColWidth="10.69921875" defaultRowHeight="15" customHeight="1" x14ac:dyDescent="0.3"/>
  <cols>
    <col min="1" max="1" width="3" style="193" customWidth="1"/>
    <col min="2" max="2" width="12" style="193" customWidth="1"/>
    <col min="3" max="3" width="1.3984375" style="193" customWidth="1"/>
    <col min="4" max="4" width="3" style="193" customWidth="1"/>
    <col min="5" max="5" width="21.59765625" style="193" bestFit="1" customWidth="1"/>
    <col min="6" max="6" width="4" style="193" customWidth="1"/>
    <col min="7" max="7" width="6" style="193" customWidth="1"/>
    <col min="8" max="8" width="10.796875" style="193" bestFit="1" customWidth="1"/>
    <col min="9" max="10" width="3" style="193" customWidth="1"/>
    <col min="11" max="11" width="12" style="193" customWidth="1"/>
    <col min="12" max="12" width="1.3984375" style="193" customWidth="1"/>
    <col min="13" max="13" width="3.296875" style="193" customWidth="1"/>
    <col min="14" max="14" width="22.8984375" style="193" bestFit="1" customWidth="1"/>
    <col min="15" max="15" width="4" style="193" customWidth="1"/>
    <col min="16" max="17" width="3" style="193" customWidth="1"/>
    <col min="18" max="18" width="6" style="193" customWidth="1"/>
    <col min="19" max="19" width="3" style="193" customWidth="1"/>
    <col min="20" max="20" width="16" style="193" customWidth="1"/>
    <col min="21" max="22" width="1" style="193" customWidth="1"/>
    <col min="23" max="23" width="11.3984375" style="193" bestFit="1" customWidth="1"/>
    <col min="24" max="24" width="28.69921875" style="193" bestFit="1" customWidth="1"/>
    <col min="25" max="25" width="20.59765625" style="193" customWidth="1"/>
    <col min="26" max="26" width="2" style="193" customWidth="1"/>
    <col min="27" max="27" width="11" style="193" customWidth="1"/>
    <col min="28" max="28" width="3" style="193" customWidth="1"/>
    <col min="29" max="29" width="20" style="193" customWidth="1"/>
    <col min="30" max="30" width="2" style="193" customWidth="1"/>
    <col min="31" max="31" width="20" style="193" customWidth="1"/>
    <col min="32" max="32" width="2.796875" style="193" customWidth="1"/>
    <col min="33" max="34" width="10.69921875" style="193"/>
    <col min="35" max="35" width="8.5" style="193" customWidth="1"/>
    <col min="36" max="16384" width="10.69921875" style="193"/>
  </cols>
  <sheetData>
    <row r="1" spans="1:36" ht="15" customHeight="1" x14ac:dyDescent="0.3">
      <c r="A1" s="314" t="s">
        <v>301</v>
      </c>
      <c r="B1" s="314"/>
      <c r="C1" s="314"/>
      <c r="D1" s="314"/>
      <c r="E1" s="314"/>
      <c r="F1" s="314"/>
      <c r="G1" s="314"/>
      <c r="H1" s="314"/>
      <c r="I1" s="314"/>
      <c r="J1" s="314"/>
      <c r="K1" s="314"/>
      <c r="L1" s="314"/>
      <c r="M1" s="314"/>
      <c r="N1" s="314"/>
      <c r="O1" s="314"/>
      <c r="P1" s="314"/>
      <c r="Q1" s="314"/>
      <c r="R1" s="286"/>
      <c r="S1" s="287"/>
      <c r="T1" s="310" t="s">
        <v>316</v>
      </c>
      <c r="U1" s="310"/>
      <c r="V1" s="310"/>
      <c r="W1" s="310"/>
      <c r="X1" s="310"/>
      <c r="Y1" s="310"/>
      <c r="Z1" s="310"/>
      <c r="AA1" s="310"/>
      <c r="AB1" s="310"/>
      <c r="AC1" s="310"/>
      <c r="AD1" s="310"/>
      <c r="AE1" s="310"/>
      <c r="AF1" s="285"/>
      <c r="AG1" s="194"/>
      <c r="AH1" s="194"/>
      <c r="AI1" s="194"/>
      <c r="AJ1" s="194"/>
    </row>
    <row r="2" spans="1:36" ht="15" customHeight="1" x14ac:dyDescent="0.3">
      <c r="A2" s="314"/>
      <c r="B2" s="314"/>
      <c r="C2" s="314"/>
      <c r="D2" s="314"/>
      <c r="E2" s="314"/>
      <c r="F2" s="314"/>
      <c r="G2" s="314"/>
      <c r="H2" s="314"/>
      <c r="I2" s="314"/>
      <c r="J2" s="314"/>
      <c r="K2" s="314"/>
      <c r="L2" s="314"/>
      <c r="M2" s="314"/>
      <c r="N2" s="314"/>
      <c r="O2" s="314"/>
      <c r="P2" s="314"/>
      <c r="Q2" s="314"/>
      <c r="S2" s="284"/>
      <c r="T2" s="310"/>
      <c r="U2" s="310"/>
      <c r="V2" s="310"/>
      <c r="W2" s="310"/>
      <c r="X2" s="310"/>
      <c r="Y2" s="310"/>
      <c r="Z2" s="310"/>
      <c r="AA2" s="310"/>
      <c r="AB2" s="310"/>
      <c r="AC2" s="310"/>
      <c r="AD2" s="310"/>
      <c r="AE2" s="310"/>
      <c r="AF2" s="285"/>
      <c r="AG2" s="194"/>
      <c r="AH2" s="194"/>
      <c r="AI2" s="194"/>
      <c r="AJ2" s="194"/>
    </row>
    <row r="3" spans="1:36" ht="15" customHeight="1" x14ac:dyDescent="0.3">
      <c r="A3" s="314"/>
      <c r="B3" s="314"/>
      <c r="C3" s="314"/>
      <c r="D3" s="314"/>
      <c r="E3" s="314"/>
      <c r="F3" s="314"/>
      <c r="G3" s="314"/>
      <c r="H3" s="314"/>
      <c r="I3" s="314"/>
      <c r="J3" s="314"/>
      <c r="K3" s="314"/>
      <c r="L3" s="314"/>
      <c r="M3" s="314"/>
      <c r="N3" s="314"/>
      <c r="O3" s="314"/>
      <c r="P3" s="314"/>
      <c r="Q3" s="314"/>
      <c r="S3" s="284"/>
      <c r="T3" s="310"/>
      <c r="U3" s="310"/>
      <c r="V3" s="310"/>
      <c r="W3" s="310"/>
      <c r="X3" s="310"/>
      <c r="Y3" s="310"/>
      <c r="Z3" s="310"/>
      <c r="AA3" s="310"/>
      <c r="AB3" s="310"/>
      <c r="AC3" s="310"/>
      <c r="AD3" s="310"/>
      <c r="AE3" s="310"/>
      <c r="AF3" s="285"/>
      <c r="AG3" s="194"/>
      <c r="AH3" s="194"/>
      <c r="AI3" s="194"/>
      <c r="AJ3" s="194"/>
    </row>
    <row r="4" spans="1:36" ht="15" customHeight="1" thickBot="1" x14ac:dyDescent="0.35">
      <c r="A4" s="62"/>
      <c r="B4" s="63"/>
      <c r="C4" s="63"/>
      <c r="D4" s="64"/>
      <c r="E4" s="65"/>
      <c r="F4" s="65"/>
      <c r="G4" s="65"/>
      <c r="H4" s="65"/>
      <c r="I4" s="65"/>
      <c r="J4" s="62"/>
      <c r="K4" s="67"/>
      <c r="L4" s="67"/>
      <c r="M4" s="68"/>
      <c r="N4" s="66"/>
      <c r="O4" s="66"/>
      <c r="P4" s="66"/>
      <c r="Q4" s="62"/>
      <c r="S4" s="94"/>
      <c r="T4" s="93"/>
      <c r="U4" s="93"/>
      <c r="V4" s="93"/>
      <c r="W4" s="93"/>
      <c r="X4" s="93"/>
      <c r="Y4" s="93"/>
      <c r="Z4" s="93"/>
      <c r="AA4" s="93"/>
      <c r="AB4" s="93"/>
      <c r="AC4" s="93"/>
      <c r="AD4" s="93"/>
      <c r="AE4" s="94"/>
      <c r="AF4" s="94"/>
      <c r="AG4" s="194"/>
      <c r="AH4" s="194"/>
      <c r="AI4" s="194"/>
      <c r="AJ4" s="194"/>
    </row>
    <row r="5" spans="1:36" ht="15" customHeight="1" thickBot="1" x14ac:dyDescent="0.35">
      <c r="A5" s="62"/>
      <c r="B5" s="69" t="s">
        <v>255</v>
      </c>
      <c r="C5" s="69"/>
      <c r="D5" s="70"/>
      <c r="E5" s="311" t="s">
        <v>252</v>
      </c>
      <c r="F5" s="312"/>
      <c r="G5" s="312"/>
      <c r="H5" s="313"/>
      <c r="I5" s="116"/>
      <c r="J5" s="62"/>
      <c r="K5" s="69" t="s">
        <v>261</v>
      </c>
      <c r="L5" s="69"/>
      <c r="M5" s="70"/>
      <c r="N5" s="130" t="s">
        <v>170</v>
      </c>
      <c r="O5" s="155"/>
      <c r="P5" s="72"/>
      <c r="Q5" s="62"/>
      <c r="S5" s="61"/>
      <c r="T5" s="59"/>
      <c r="U5" s="59"/>
      <c r="V5" s="59" t="str" cm="1">
        <f t="array" ref="V5">calculateServingCountSide($U5)</f>
        <v/>
      </c>
      <c r="W5" s="59"/>
      <c r="X5" s="59"/>
      <c r="Y5" s="59"/>
      <c r="Z5" s="59"/>
      <c r="AA5" s="59"/>
      <c r="AB5" s="59"/>
      <c r="AC5" s="59"/>
      <c r="AD5" s="59"/>
      <c r="AE5" s="59"/>
      <c r="AF5" s="61"/>
      <c r="AG5" s="194"/>
      <c r="AH5" s="194"/>
      <c r="AI5" s="194"/>
      <c r="AJ5" s="194"/>
    </row>
    <row r="6" spans="1:36" ht="15" customHeight="1" thickBot="1" x14ac:dyDescent="0.35">
      <c r="A6" s="62"/>
      <c r="B6" s="69"/>
      <c r="C6" s="69"/>
      <c r="D6" s="70"/>
      <c r="E6" s="82"/>
      <c r="F6" s="73"/>
      <c r="G6" s="66"/>
      <c r="H6" s="66"/>
      <c r="I6" s="66"/>
      <c r="J6" s="62"/>
      <c r="K6" s="69"/>
      <c r="L6" s="69"/>
      <c r="M6" s="70"/>
      <c r="N6" s="127" t="s">
        <v>119</v>
      </c>
      <c r="O6" s="158"/>
      <c r="P6" s="66"/>
      <c r="Q6" s="62"/>
      <c r="S6" s="61"/>
      <c r="T6" s="61"/>
      <c r="U6" s="60"/>
      <c r="V6" s="59" t="str" cm="1">
        <f t="array" ref="V6">calculateServingCountSide($U6)</f>
        <v/>
      </c>
      <c r="W6" s="61"/>
      <c r="X6" s="61"/>
      <c r="Y6" s="61"/>
      <c r="Z6" s="61"/>
      <c r="AA6" s="61"/>
      <c r="AB6" s="61"/>
      <c r="AC6" s="61"/>
      <c r="AD6" s="61"/>
      <c r="AE6" s="61"/>
      <c r="AF6" s="61"/>
      <c r="AG6" s="194"/>
      <c r="AH6" s="194"/>
      <c r="AI6" s="194"/>
      <c r="AJ6" s="194"/>
    </row>
    <row r="7" spans="1:36" ht="15" customHeight="1" thickBot="1" x14ac:dyDescent="0.35">
      <c r="A7" s="62"/>
      <c r="B7" s="69" t="s">
        <v>332</v>
      </c>
      <c r="C7" s="69"/>
      <c r="D7" s="70"/>
      <c r="E7" s="311" t="s">
        <v>244</v>
      </c>
      <c r="F7" s="312"/>
      <c r="G7" s="312"/>
      <c r="H7" s="313"/>
      <c r="I7" s="116"/>
      <c r="J7" s="62"/>
      <c r="K7" s="74"/>
      <c r="L7" s="74"/>
      <c r="M7" s="75"/>
      <c r="N7" s="144" t="s">
        <v>120</v>
      </c>
      <c r="O7" s="157"/>
      <c r="P7" s="66"/>
      <c r="Q7" s="62"/>
      <c r="S7" s="61"/>
      <c r="T7" s="76" t="s">
        <v>268</v>
      </c>
      <c r="U7" s="77"/>
      <c r="V7" s="114" t="str" cm="1">
        <f t="array" ref="V7">calculateServingCountSide($U7)</f>
        <v/>
      </c>
      <c r="W7" s="79" t="str">
        <f>IF(LEN($E$5)&gt;0,$E$5, "")</f>
        <v>12-inch</v>
      </c>
      <c r="X7" s="79"/>
      <c r="Y7" s="79"/>
      <c r="Z7" s="79"/>
      <c r="AA7" s="79"/>
      <c r="AB7" s="61"/>
      <c r="AC7" s="112" t="s">
        <v>275</v>
      </c>
      <c r="AD7" s="112"/>
      <c r="AE7" s="112"/>
      <c r="AF7" s="61"/>
      <c r="AG7" s="194"/>
      <c r="AH7" s="194"/>
      <c r="AI7" s="194"/>
      <c r="AJ7" s="194"/>
    </row>
    <row r="8" spans="1:36" ht="15" customHeight="1" thickBot="1" x14ac:dyDescent="0.35">
      <c r="A8" s="62"/>
      <c r="B8" s="74"/>
      <c r="C8" s="74"/>
      <c r="D8" s="75"/>
      <c r="E8" s="73"/>
      <c r="F8" s="73"/>
      <c r="G8" s="66"/>
      <c r="H8" s="66"/>
      <c r="I8" s="116"/>
      <c r="J8" s="62"/>
      <c r="K8" s="74"/>
      <c r="L8" s="74"/>
      <c r="M8" s="75"/>
      <c r="N8" s="127" t="s">
        <v>121</v>
      </c>
      <c r="O8" s="158"/>
      <c r="P8" s="66"/>
      <c r="Q8" s="62"/>
      <c r="S8" s="61"/>
      <c r="T8" s="76" t="s">
        <v>269</v>
      </c>
      <c r="U8" s="77"/>
      <c r="V8" s="114" t="str" cm="1">
        <f t="array" ref="V8">calculateServingCountSide($U8)</f>
        <v/>
      </c>
      <c r="W8" s="79" t="str">
        <f>IF(LEN($E$7)&gt;0,$E$7, "")</f>
        <v>White Bread</v>
      </c>
      <c r="X8" s="79"/>
      <c r="Y8" s="79"/>
      <c r="Z8" s="79"/>
      <c r="AA8" s="79"/>
      <c r="AB8" s="61"/>
      <c r="AC8" s="105" t="s">
        <v>140</v>
      </c>
      <c r="AD8" s="105"/>
      <c r="AE8" s="111">
        <v>436.8</v>
      </c>
      <c r="AF8" s="61"/>
      <c r="AG8" s="194"/>
      <c r="AH8" s="194"/>
      <c r="AI8" s="194"/>
      <c r="AJ8" s="194"/>
    </row>
    <row r="9" spans="1:36" ht="15" customHeight="1" thickBot="1" x14ac:dyDescent="0.35">
      <c r="A9" s="62"/>
      <c r="B9" s="69" t="s">
        <v>256</v>
      </c>
      <c r="C9" s="69"/>
      <c r="D9" s="70"/>
      <c r="E9" s="311" t="s">
        <v>241</v>
      </c>
      <c r="F9" s="312"/>
      <c r="G9" s="312"/>
      <c r="H9" s="313"/>
      <c r="I9" s="116"/>
      <c r="J9" s="62"/>
      <c r="K9" s="74"/>
      <c r="L9" s="74"/>
      <c r="M9" s="75"/>
      <c r="N9" s="167" t="s">
        <v>122</v>
      </c>
      <c r="O9" s="168"/>
      <c r="P9" s="66"/>
      <c r="Q9" s="62"/>
      <c r="S9" s="61"/>
      <c r="T9" s="76"/>
      <c r="U9" s="76"/>
      <c r="V9" s="114" t="str" cm="1">
        <f t="array" ref="V9">calculateServingCountSide($U9)</f>
        <v/>
      </c>
      <c r="W9" s="80"/>
      <c r="X9" s="80"/>
      <c r="Y9" s="80"/>
      <c r="Z9" s="80"/>
      <c r="AA9" s="80"/>
      <c r="AB9" s="61"/>
      <c r="AC9" s="105" t="s">
        <v>141</v>
      </c>
      <c r="AD9" s="105"/>
      <c r="AE9" s="111">
        <v>3902.3999999999996</v>
      </c>
      <c r="AF9" s="61"/>
      <c r="AG9" s="194"/>
      <c r="AH9" s="194"/>
      <c r="AI9" s="194"/>
      <c r="AJ9" s="194"/>
    </row>
    <row r="10" spans="1:36" ht="15" customHeight="1" thickBot="1" x14ac:dyDescent="0.35">
      <c r="A10" s="62"/>
      <c r="B10" s="69"/>
      <c r="C10" s="69"/>
      <c r="D10" s="70"/>
      <c r="E10" s="73"/>
      <c r="F10" s="73"/>
      <c r="G10" s="71"/>
      <c r="H10" s="71"/>
      <c r="I10" s="71"/>
      <c r="J10" s="62"/>
      <c r="K10" s="74"/>
      <c r="L10" s="74"/>
      <c r="M10" s="75"/>
      <c r="N10" s="169" t="s">
        <v>171</v>
      </c>
      <c r="O10" s="170"/>
      <c r="P10" s="66"/>
      <c r="Q10" s="62"/>
      <c r="S10" s="61"/>
      <c r="T10" s="76" t="s">
        <v>266</v>
      </c>
      <c r="U10" s="77"/>
      <c r="V10" s="114" t="str" cm="1">
        <f t="array" ref="V10">calculateServingCountSide($U10)</f>
        <v/>
      </c>
      <c r="W10" s="79" t="str">
        <f>IF(LEN($E$9)&gt;0,$E$9, "")</f>
        <v>BBQ Pulled Pork</v>
      </c>
      <c r="X10" s="79"/>
      <c r="Y10" s="79"/>
      <c r="Z10" s="79"/>
      <c r="AA10" s="79"/>
      <c r="AB10" s="61"/>
      <c r="AC10" s="105" t="s">
        <v>142</v>
      </c>
      <c r="AD10" s="105"/>
      <c r="AE10" s="111">
        <v>935.00000000000011</v>
      </c>
      <c r="AF10" s="61"/>
      <c r="AG10" s="194"/>
      <c r="AH10" s="194"/>
      <c r="AI10" s="194"/>
      <c r="AJ10" s="194"/>
    </row>
    <row r="11" spans="1:36" ht="15" customHeight="1" x14ac:dyDescent="0.3">
      <c r="A11" s="62"/>
      <c r="B11" s="69" t="s">
        <v>257</v>
      </c>
      <c r="C11" s="69"/>
      <c r="D11" s="70"/>
      <c r="E11" s="136" t="s">
        <v>199</v>
      </c>
      <c r="F11" s="156"/>
      <c r="G11" s="66"/>
      <c r="H11" s="66" t="str">
        <f>VLOOKUP(E11, VegT[], 3, FALSE)</f>
        <v>ㅤ</v>
      </c>
      <c r="I11" s="66"/>
      <c r="J11" s="62"/>
      <c r="K11" s="74"/>
      <c r="L11" s="74"/>
      <c r="M11" s="75"/>
      <c r="N11" s="144" t="s">
        <v>123</v>
      </c>
      <c r="O11" s="157"/>
      <c r="P11" s="66"/>
      <c r="Q11" s="62"/>
      <c r="S11" s="61"/>
      <c r="T11" s="76"/>
      <c r="U11" s="77"/>
      <c r="V11" s="78"/>
      <c r="W11" s="115"/>
      <c r="X11" s="115"/>
      <c r="Y11" s="115"/>
      <c r="Z11" s="115"/>
      <c r="AA11" s="115"/>
      <c r="AB11" s="61"/>
      <c r="AC11" s="105" t="s">
        <v>143</v>
      </c>
      <c r="AD11" s="105"/>
      <c r="AE11" s="111">
        <v>49.2</v>
      </c>
      <c r="AF11" s="61"/>
      <c r="AG11" s="194"/>
      <c r="AH11" s="194"/>
      <c r="AI11" s="194"/>
      <c r="AJ11" s="194"/>
    </row>
    <row r="12" spans="1:36" ht="15" customHeight="1" x14ac:dyDescent="0.3">
      <c r="A12" s="62"/>
      <c r="B12" s="74"/>
      <c r="C12" s="74"/>
      <c r="D12" s="75"/>
      <c r="E12" s="127" t="s">
        <v>226</v>
      </c>
      <c r="F12" s="158"/>
      <c r="G12" s="66"/>
      <c r="H12" s="66" t="str">
        <f>VLOOKUP(E12, VegT[], 3, FALSE)</f>
        <v>ㅤ</v>
      </c>
      <c r="I12" s="66"/>
      <c r="J12" s="62"/>
      <c r="K12" s="74"/>
      <c r="L12" s="74"/>
      <c r="M12" s="75"/>
      <c r="N12" s="127" t="s">
        <v>172</v>
      </c>
      <c r="O12" s="158"/>
      <c r="P12" s="66"/>
      <c r="Q12" s="62"/>
      <c r="S12" s="61"/>
      <c r="T12" s="76" t="s">
        <v>278</v>
      </c>
      <c r="U12" s="77"/>
      <c r="V12" s="78"/>
      <c r="W12" s="80" t="str" cm="1">
        <f t="array" ref="W12">IFERROR(_xlfn.TEXTJOIN(", ",TRUE, _xlfn._xlws.FILTER(DressingSel[Dressings selected], DressingSel[TRUE / FALSE]=TRUE)), "")</f>
        <v>Honey Mustard Sauce</v>
      </c>
      <c r="X12" s="80"/>
      <c r="Y12" s="80"/>
      <c r="Z12" s="80"/>
      <c r="AA12" s="80"/>
      <c r="AB12" s="61"/>
      <c r="AC12" s="105" t="s">
        <v>144</v>
      </c>
      <c r="AD12" s="105"/>
      <c r="AE12" s="111">
        <v>31.2</v>
      </c>
      <c r="AF12" s="61"/>
      <c r="AG12" s="194"/>
      <c r="AH12" s="194"/>
      <c r="AI12" s="194"/>
      <c r="AJ12" s="194"/>
    </row>
    <row r="13" spans="1:36" ht="15" customHeight="1" x14ac:dyDescent="0.3">
      <c r="A13" s="62"/>
      <c r="B13" s="74"/>
      <c r="C13" s="74"/>
      <c r="D13" s="75"/>
      <c r="E13" s="127" t="s">
        <v>196</v>
      </c>
      <c r="F13" s="158"/>
      <c r="G13" s="66"/>
      <c r="H13" s="66" t="str">
        <f>VLOOKUP(E13, VegT[], 3, FALSE)</f>
        <v>ㅤ</v>
      </c>
      <c r="I13" s="66"/>
      <c r="J13" s="62"/>
      <c r="K13" s="74"/>
      <c r="L13" s="74"/>
      <c r="M13" s="75"/>
      <c r="N13" s="137" t="s">
        <v>173</v>
      </c>
      <c r="O13" s="166"/>
      <c r="P13" s="66"/>
      <c r="Q13" s="62"/>
      <c r="S13" s="61"/>
      <c r="T13" s="96"/>
      <c r="U13" s="96"/>
      <c r="V13" s="95"/>
      <c r="W13" s="95"/>
      <c r="X13" s="95"/>
      <c r="Y13" s="95"/>
      <c r="Z13" s="95"/>
      <c r="AA13" s="95"/>
      <c r="AB13" s="61"/>
      <c r="AC13" s="105" t="s">
        <v>145</v>
      </c>
      <c r="AD13" s="105"/>
      <c r="AE13" s="111">
        <v>12.8</v>
      </c>
      <c r="AF13" s="61"/>
      <c r="AG13" s="194"/>
      <c r="AH13" s="194"/>
      <c r="AI13" s="194"/>
      <c r="AJ13" s="194"/>
    </row>
    <row r="14" spans="1:36" ht="15" customHeight="1" x14ac:dyDescent="0.3">
      <c r="A14" s="62"/>
      <c r="B14" s="74"/>
      <c r="C14" s="74"/>
      <c r="D14" s="75"/>
      <c r="E14" s="127" t="s">
        <v>195</v>
      </c>
      <c r="F14" s="158"/>
      <c r="G14" s="66"/>
      <c r="H14" s="81" t="str">
        <f>VLOOKUP(E14, VegT[], 3, FALSE)</f>
        <v>ㅤ</v>
      </c>
      <c r="I14" s="81"/>
      <c r="J14" s="62"/>
      <c r="K14" s="74"/>
      <c r="L14" s="74"/>
      <c r="M14" s="75"/>
      <c r="N14" s="144" t="s">
        <v>174</v>
      </c>
      <c r="O14" s="157"/>
      <c r="P14" s="66"/>
      <c r="Q14" s="62"/>
      <c r="S14" s="61"/>
      <c r="T14" s="76" t="s">
        <v>297</v>
      </c>
      <c r="U14" s="77"/>
      <c r="V14" s="78"/>
      <c r="W14" s="79" t="str" cm="1">
        <f t="array" ref="W14">IFERROR(_xlfn.TEXTJOIN(", ",TRUE, _xlfn._xlws.FILTER(SeasoningSel[Seasonings selected], SeasoningSel[TRUE / FALSE]=TRUE)), "")</f>
        <v/>
      </c>
      <c r="X14" s="79"/>
      <c r="Y14" s="79"/>
      <c r="Z14" s="79"/>
      <c r="AA14" s="79"/>
      <c r="AB14" s="61"/>
      <c r="AC14" s="105" t="s">
        <v>146</v>
      </c>
      <c r="AD14" s="105"/>
      <c r="AE14" s="111">
        <v>113.00000000000001</v>
      </c>
      <c r="AF14" s="61"/>
      <c r="AG14" s="194"/>
      <c r="AH14" s="194"/>
      <c r="AI14" s="194"/>
      <c r="AJ14" s="194"/>
    </row>
    <row r="15" spans="1:36" ht="15" customHeight="1" x14ac:dyDescent="0.3">
      <c r="A15" s="62"/>
      <c r="B15" s="74"/>
      <c r="C15" s="74"/>
      <c r="D15" s="75"/>
      <c r="E15" s="144" t="s">
        <v>253</v>
      </c>
      <c r="F15" s="157"/>
      <c r="G15" s="88"/>
      <c r="H15" s="81" t="s">
        <v>272</v>
      </c>
      <c r="I15" s="81"/>
      <c r="J15" s="62"/>
      <c r="K15" s="74"/>
      <c r="L15" s="74"/>
      <c r="M15" s="75"/>
      <c r="N15" s="127" t="s">
        <v>125</v>
      </c>
      <c r="O15" s="158"/>
      <c r="P15" s="66"/>
      <c r="Q15" s="62"/>
      <c r="S15" s="61"/>
      <c r="T15" s="61"/>
      <c r="U15" s="61"/>
      <c r="V15" s="61"/>
      <c r="W15" s="61"/>
      <c r="X15" s="61"/>
      <c r="Y15" s="61"/>
      <c r="Z15" s="61"/>
      <c r="AA15" s="61"/>
      <c r="AB15" s="61"/>
      <c r="AC15" s="105" t="s">
        <v>147</v>
      </c>
      <c r="AD15" s="105"/>
      <c r="AE15" s="111">
        <v>35.200000000000003</v>
      </c>
      <c r="AF15" s="61"/>
      <c r="AG15" s="194"/>
      <c r="AH15" s="194"/>
      <c r="AI15" s="194"/>
      <c r="AJ15" s="194"/>
    </row>
    <row r="16" spans="1:36" ht="15" customHeight="1" thickBot="1" x14ac:dyDescent="0.35">
      <c r="A16" s="62"/>
      <c r="B16" s="74"/>
      <c r="C16" s="74"/>
      <c r="D16" s="75"/>
      <c r="E16" s="127" t="s">
        <v>190</v>
      </c>
      <c r="F16" s="158"/>
      <c r="G16" s="88"/>
      <c r="H16" s="81" t="s">
        <v>273</v>
      </c>
      <c r="I16" s="81"/>
      <c r="J16" s="117"/>
      <c r="K16" s="74"/>
      <c r="L16" s="74"/>
      <c r="M16" s="75"/>
      <c r="N16" s="144" t="s">
        <v>175</v>
      </c>
      <c r="O16" s="157"/>
      <c r="P16" s="66"/>
      <c r="Q16" s="62"/>
      <c r="S16" s="61"/>
      <c r="T16" s="76" t="s">
        <v>213</v>
      </c>
      <c r="U16" s="77"/>
      <c r="V16" s="77"/>
      <c r="W16" s="83" t="s">
        <v>274</v>
      </c>
      <c r="X16" s="84" t="s">
        <v>240</v>
      </c>
      <c r="Y16" s="76" t="s">
        <v>237</v>
      </c>
      <c r="Z16" s="77"/>
      <c r="AA16" s="85" t="s">
        <v>274</v>
      </c>
      <c r="AB16" s="61"/>
      <c r="AC16" s="105" t="s">
        <v>148</v>
      </c>
      <c r="AD16" s="105"/>
      <c r="AE16" s="111">
        <v>5</v>
      </c>
      <c r="AF16" s="61"/>
      <c r="AG16" s="194"/>
      <c r="AH16" s="194"/>
      <c r="AI16" s="194"/>
      <c r="AJ16" s="194"/>
    </row>
    <row r="17" spans="1:36" ht="15" customHeight="1" x14ac:dyDescent="0.3">
      <c r="A17" s="62"/>
      <c r="B17" s="74"/>
      <c r="C17" s="74"/>
      <c r="D17" s="75"/>
      <c r="E17" s="144" t="s">
        <v>221</v>
      </c>
      <c r="F17" s="157"/>
      <c r="G17" s="162"/>
      <c r="H17" s="150" t="str">
        <f>VLOOKUP(E17, VegT[], 3, FALSE)</f>
        <v>Strips</v>
      </c>
      <c r="I17" s="73"/>
      <c r="J17" s="62"/>
      <c r="K17" s="74"/>
      <c r="L17" s="74"/>
      <c r="M17" s="75"/>
      <c r="N17" s="127" t="s">
        <v>126</v>
      </c>
      <c r="O17" s="158"/>
      <c r="P17" s="66"/>
      <c r="Q17" s="62"/>
      <c r="S17" s="61"/>
      <c r="T17" s="86" t="str" cm="1">
        <f t="array" ref="T17:T20">IFERROR(_xlfn._xlws.FILTER(VegSel[Vegetables selected], TRUE=VegSel[TRUE / FALSE]), "")</f>
        <v>Pineapple</v>
      </c>
      <c r="U17" s="79"/>
      <c r="V17" s="79"/>
      <c r="W17" s="80" t="str" cm="1">
        <f t="array" aca="1" ref="W17" ca="1">IF(LEN(T17)&gt;0, IF(getServingCountSandwich(T17)&gt;0, _xlfn.CONCAT(getServingCountSandwich(T17)," ",getServingUnitsSandwich(T17)),"Default"), "")</f>
        <v>Default</v>
      </c>
      <c r="X17" s="87" t="str" cm="1">
        <f t="array" ref="X17">IFERROR(_xlfn._xlws.FILTER(ToppingSel[Toppings selected], TRUE=ToppingSel[TRUE / FALSE]), "")</f>
        <v/>
      </c>
      <c r="Y17" s="87" t="str" cm="1">
        <f t="array" ref="Y17">IFERROR(_xlfn._xlws.FILTER(CheeseSel[Cheese selected], TRUE=CheeseSel[TRUE / FALSE]), "")</f>
        <v>Old English-Style Cheese</v>
      </c>
      <c r="Z17" s="87"/>
      <c r="AA17" s="80" t="str" cm="1">
        <f t="array" aca="1" ref="AA17" ca="1">IF(LEN(Y17)&gt;0, IF(getServingCountSandwich(Y17)&gt;0, _xlfn.CONCAT(getServingCountSandwich(Y17), " ", getServingUnitsSandwich(Y17)),"Default"), "")</f>
        <v>Default</v>
      </c>
      <c r="AB17" s="61"/>
      <c r="AC17" s="105" t="s">
        <v>149</v>
      </c>
      <c r="AD17" s="105"/>
      <c r="AE17" s="111">
        <v>2330.8000000000002</v>
      </c>
      <c r="AF17" s="61"/>
      <c r="AG17" s="194"/>
      <c r="AH17" s="194"/>
      <c r="AI17" s="194"/>
      <c r="AJ17" s="194"/>
    </row>
    <row r="18" spans="1:36" ht="15" customHeight="1" x14ac:dyDescent="0.3">
      <c r="A18" s="62"/>
      <c r="B18" s="74"/>
      <c r="C18" s="74"/>
      <c r="D18" s="75"/>
      <c r="E18" s="127" t="s">
        <v>251</v>
      </c>
      <c r="F18" s="158"/>
      <c r="G18" s="163"/>
      <c r="H18" s="151" t="str">
        <f>VLOOKUP(E18, VegT[], 3, FALSE)</f>
        <v>Slices</v>
      </c>
      <c r="I18" s="73"/>
      <c r="J18" s="62"/>
      <c r="K18" s="74"/>
      <c r="L18" s="74"/>
      <c r="M18" s="75"/>
      <c r="N18" s="144" t="s">
        <v>176</v>
      </c>
      <c r="O18" s="157"/>
      <c r="P18" s="66"/>
      <c r="Q18" s="62"/>
      <c r="S18" s="61"/>
      <c r="T18" s="86" t="str">
        <v>Onions</v>
      </c>
      <c r="U18" s="79"/>
      <c r="V18" s="79"/>
      <c r="W18" s="80" t="str" cm="1">
        <f t="array" aca="1" ref="W18" ca="1">IF(LEN(T18)&gt;0, IF(getServingCountSandwich(T18)&gt;0, _xlfn.CONCAT(getServingCountSandwich(T18)," ",getServingUnitsSandwich(T18)),"Default"), "")</f>
        <v>Default</v>
      </c>
      <c r="X18" s="87"/>
      <c r="Y18" s="87"/>
      <c r="Z18" s="87"/>
      <c r="AA18" s="80" t="str" cm="1">
        <f t="array" ref="AA18">IF(LEN(Y18)&gt;0, IF(getServingCountSandwich(Y18)&gt;0, _xlfn.CONCAT(getServingCountSandwich(Y18), " ", getServingUnitsSandwich(Y18)),"Default"), "")</f>
        <v/>
      </c>
      <c r="AB18" s="61"/>
      <c r="AC18" s="61"/>
      <c r="AD18" s="61"/>
      <c r="AE18" s="61"/>
      <c r="AF18" s="61"/>
      <c r="AG18" s="194"/>
      <c r="AH18" s="194"/>
      <c r="AI18" s="194"/>
      <c r="AJ18" s="194"/>
    </row>
    <row r="19" spans="1:36" ht="15" customHeight="1" x14ac:dyDescent="0.3">
      <c r="A19" s="62"/>
      <c r="B19" s="74"/>
      <c r="C19" s="74"/>
      <c r="D19" s="75"/>
      <c r="E19" s="144" t="s">
        <v>222</v>
      </c>
      <c r="F19" s="157"/>
      <c r="G19" s="164"/>
      <c r="H19" s="151" t="str">
        <f>VLOOKUP(E19, VegT[], 3, FALSE)</f>
        <v>Rings</v>
      </c>
      <c r="I19" s="73"/>
      <c r="J19" s="62"/>
      <c r="K19" s="74"/>
      <c r="L19" s="74"/>
      <c r="M19" s="75"/>
      <c r="N19" s="127" t="s">
        <v>127</v>
      </c>
      <c r="O19" s="158"/>
      <c r="P19" s="66"/>
      <c r="Q19" s="62"/>
      <c r="S19" s="61"/>
      <c r="T19" s="86" t="str">
        <v>Lettuce</v>
      </c>
      <c r="U19" s="79"/>
      <c r="V19" s="79"/>
      <c r="W19" s="80" t="str" cm="1">
        <f t="array" aca="1" ref="W19" ca="1">IF(LEN(T19)&gt;0, IF(getServingCountSandwich(T19)&gt;0, _xlfn.CONCAT(getServingCountSandwich(T19)," ",getServingUnitsSandwich(T19)),"Default"), "")</f>
        <v>Default</v>
      </c>
      <c r="X19" s="87"/>
      <c r="Y19" s="87"/>
      <c r="Z19" s="87"/>
      <c r="AA19" s="80" t="str" cm="1">
        <f t="array" ref="AA19">IF(LEN(Y19)&gt;0, IF(getServingCountSandwich(Y19)&gt;0, _xlfn.CONCAT(getServingCountSandwich(Y19), " ", getServingUnitsSandwich(Y19)),"Default"), "")</f>
        <v/>
      </c>
      <c r="AB19" s="61"/>
      <c r="AC19" s="61"/>
      <c r="AD19" s="61"/>
      <c r="AE19" s="61"/>
      <c r="AF19" s="61"/>
      <c r="AG19" s="194"/>
      <c r="AH19" s="194"/>
      <c r="AI19" s="194"/>
      <c r="AJ19" s="194"/>
    </row>
    <row r="20" spans="1:36" ht="15" customHeight="1" x14ac:dyDescent="0.3">
      <c r="A20" s="62"/>
      <c r="B20" s="74"/>
      <c r="C20" s="74"/>
      <c r="D20" s="75"/>
      <c r="E20" s="128" t="s">
        <v>223</v>
      </c>
      <c r="F20" s="165"/>
      <c r="G20" s="119"/>
      <c r="H20" s="151" t="str">
        <f>VLOOKUP(E20, VegT[], 3, FALSE)</f>
        <v>Rings</v>
      </c>
      <c r="I20" s="73"/>
      <c r="J20" s="62"/>
      <c r="K20" s="74"/>
      <c r="L20" s="74"/>
      <c r="M20" s="75"/>
      <c r="N20" s="144" t="s">
        <v>345</v>
      </c>
      <c r="O20" s="157"/>
      <c r="P20" s="66"/>
      <c r="Q20" s="62"/>
      <c r="S20" s="61"/>
      <c r="T20" s="86" t="str">
        <v>Capsicum</v>
      </c>
      <c r="U20" s="79"/>
      <c r="V20" s="79"/>
      <c r="W20" s="80" t="str" cm="1">
        <f t="array" aca="1" ref="W20" ca="1">IF(LEN(T20)&gt;0, IF(getServingCountSandwich(T20)&gt;0, _xlfn.CONCAT(getServingCountSandwich(T20)," ",getServingUnitsSandwich(T20)),"Default"), "")</f>
        <v>Default</v>
      </c>
      <c r="X20" s="87"/>
      <c r="Y20" s="87"/>
      <c r="Z20" s="87"/>
      <c r="AA20" s="80" t="str" cm="1">
        <f t="array" ref="AA20">IF(LEN(Y20)&gt;0, IF(getServingCountSandwich(Y20)&gt;0, _xlfn.CONCAT(getServingCountSandwich(Y20), " ", getServingUnitsSandwich(Y20)),"Default"), "")</f>
        <v/>
      </c>
      <c r="AB20" s="61"/>
      <c r="AC20" s="61"/>
      <c r="AD20" s="61"/>
      <c r="AE20" s="61"/>
      <c r="AF20" s="61"/>
      <c r="AG20" s="194"/>
      <c r="AH20" s="194"/>
      <c r="AI20" s="194"/>
      <c r="AJ20" s="194"/>
    </row>
    <row r="21" spans="1:36" ht="15" customHeight="1" x14ac:dyDescent="0.3">
      <c r="A21" s="62"/>
      <c r="B21" s="74"/>
      <c r="C21" s="74"/>
      <c r="D21" s="75"/>
      <c r="E21" s="127" t="s">
        <v>224</v>
      </c>
      <c r="F21" s="158"/>
      <c r="G21" s="119"/>
      <c r="H21" s="151" t="str">
        <f>VLOOKUP(E21, VegT[], 3, FALSE)</f>
        <v>Wheels</v>
      </c>
      <c r="I21" s="73"/>
      <c r="J21" s="62"/>
      <c r="K21" s="74"/>
      <c r="L21" s="74"/>
      <c r="M21" s="75"/>
      <c r="N21" s="127" t="s">
        <v>129</v>
      </c>
      <c r="O21" s="158"/>
      <c r="P21" s="66"/>
      <c r="Q21" s="62"/>
      <c r="S21" s="61"/>
      <c r="T21" s="86"/>
      <c r="U21" s="79"/>
      <c r="V21" s="79"/>
      <c r="W21" s="80" t="str" cm="1">
        <f t="array" ref="W21">IF(LEN(T21)&gt;0, IF(getServingCountSandwich(T21)&gt;0, _xlfn.CONCAT(getServingCountSandwich(T21)," ",getServingUnitsSandwich(T21)),"Default"), "")</f>
        <v/>
      </c>
      <c r="X21" s="87"/>
      <c r="Y21" s="87"/>
      <c r="Z21" s="87"/>
      <c r="AA21" s="80" t="str" cm="1">
        <f t="array" ref="AA21">IF(LEN(Y21)&gt;0, IF(getServingCountSandwich(Y21)&gt;0, _xlfn.CONCAT(getServingCountSandwich(Y21), " ", getServingUnitsSandwich(Y21)),"Default"), "")</f>
        <v/>
      </c>
      <c r="AB21" s="61"/>
      <c r="AC21" s="61"/>
      <c r="AD21" s="61"/>
      <c r="AE21" s="61"/>
      <c r="AF21" s="61"/>
      <c r="AG21" s="194"/>
      <c r="AH21" s="194"/>
      <c r="AI21" s="194"/>
      <c r="AJ21" s="194"/>
    </row>
    <row r="22" spans="1:36" ht="15" customHeight="1" thickBot="1" x14ac:dyDescent="0.35">
      <c r="A22" s="62"/>
      <c r="B22" s="74"/>
      <c r="C22" s="74"/>
      <c r="D22" s="75"/>
      <c r="E22" s="137" t="s">
        <v>225</v>
      </c>
      <c r="F22" s="166"/>
      <c r="G22" s="159"/>
      <c r="H22" s="152" t="str">
        <f>VLOOKUP(E22, VegT[], 3, FALSE)</f>
        <v>Wheels</v>
      </c>
      <c r="I22" s="73"/>
      <c r="J22" s="62"/>
      <c r="K22" s="74"/>
      <c r="L22" s="74"/>
      <c r="M22" s="75"/>
      <c r="N22" s="125" t="s">
        <v>131</v>
      </c>
      <c r="O22" s="145"/>
      <c r="P22" s="73"/>
      <c r="Q22" s="62"/>
      <c r="S22" s="61"/>
      <c r="T22" s="86"/>
      <c r="U22" s="79"/>
      <c r="V22" s="79"/>
      <c r="W22" s="80" t="str" cm="1">
        <f t="array" ref="W22">IF(LEN(T22)&gt;0, IF(getServingCountSandwich(T22)&gt;0, _xlfn.CONCAT(getServingCountSandwich(T22)," ",getServingUnitsSandwich(T22)),"Default"), "")</f>
        <v/>
      </c>
      <c r="X22" s="87"/>
      <c r="Y22" s="87"/>
      <c r="Z22" s="87"/>
      <c r="AA22" s="80" t="str" cm="1">
        <f t="array" ref="AA22">IF(LEN(Y22)&gt;0, IF(getServingCountSandwich(Y22)&gt;0, _xlfn.CONCAT(getServingCountSandwich(Y22), " ", getServingUnitsSandwich(Y22)),"Default"), "")</f>
        <v/>
      </c>
      <c r="AB22" s="61"/>
      <c r="AC22" s="61"/>
      <c r="AD22" s="61"/>
      <c r="AE22" s="61"/>
      <c r="AF22" s="61"/>
      <c r="AG22" s="194"/>
      <c r="AH22" s="194"/>
      <c r="AI22" s="194"/>
      <c r="AJ22" s="194"/>
    </row>
    <row r="23" spans="1:36" ht="15" customHeight="1" thickBot="1" x14ac:dyDescent="0.35">
      <c r="A23" s="62"/>
      <c r="B23" s="74"/>
      <c r="C23" s="74"/>
      <c r="D23" s="75"/>
      <c r="E23" s="125" t="s">
        <v>192</v>
      </c>
      <c r="F23" s="160"/>
      <c r="G23" s="66"/>
      <c r="H23" s="66" t="str">
        <f>VLOOKUP(E23, VegT[], 3, FALSE)</f>
        <v>ㅤ</v>
      </c>
      <c r="I23" s="66"/>
      <c r="J23" s="62"/>
      <c r="K23" s="74"/>
      <c r="L23" s="74"/>
      <c r="M23" s="75"/>
      <c r="N23" s="73"/>
      <c r="O23" s="73"/>
      <c r="P23" s="73"/>
      <c r="Q23" s="62"/>
      <c r="S23" s="61"/>
      <c r="T23" s="86"/>
      <c r="U23" s="79"/>
      <c r="V23" s="79"/>
      <c r="W23" s="80" t="str" cm="1">
        <f t="array" ref="W23">IF(LEN(T23)&gt;0, IF(getServingCountSandwich(T23)&gt;0, _xlfn.CONCAT(getServingCountSandwich(T23)," ",getServingUnitsSandwich(T23)),"Default"), "")</f>
        <v/>
      </c>
      <c r="X23" s="87"/>
      <c r="Y23" s="87"/>
      <c r="Z23" s="87"/>
      <c r="AA23" s="80" t="str" cm="1">
        <f t="array" ref="AA23">IF(LEN(Y23)&gt;0, IF(getServingCountSandwich(Y23)&gt;0, _xlfn.CONCAT(getServingCountSandwich(Y23), " ", getServingUnitsSandwich(Y23)),"Default"), "")</f>
        <v/>
      </c>
      <c r="AB23" s="61"/>
      <c r="AC23" s="61"/>
      <c r="AD23" s="61"/>
      <c r="AE23" s="61"/>
      <c r="AF23" s="61"/>
      <c r="AG23" s="194"/>
      <c r="AH23" s="194"/>
      <c r="AI23" s="194"/>
      <c r="AJ23" s="194"/>
    </row>
    <row r="24" spans="1:36" ht="15" customHeight="1" x14ac:dyDescent="0.3">
      <c r="A24" s="62"/>
      <c r="B24" s="74"/>
      <c r="C24" s="74"/>
      <c r="D24" s="75"/>
      <c r="E24" s="73"/>
      <c r="F24" s="66"/>
      <c r="G24" s="66"/>
      <c r="H24" s="66"/>
      <c r="I24" s="66"/>
      <c r="J24" s="62"/>
      <c r="K24" s="69" t="s">
        <v>263</v>
      </c>
      <c r="L24" s="69"/>
      <c r="M24" s="70"/>
      <c r="N24" s="130" t="s">
        <v>177</v>
      </c>
      <c r="O24" s="161"/>
      <c r="P24" s="66"/>
      <c r="Q24" s="62"/>
      <c r="S24" s="61"/>
      <c r="T24" s="86"/>
      <c r="U24" s="79"/>
      <c r="V24" s="79"/>
      <c r="W24" s="80" t="str" cm="1">
        <f t="array" ref="W24">IF(LEN(T24)&gt;0, IF(getServingCountSandwich(T24)&gt;0, _xlfn.CONCAT(getServingCountSandwich(T24)," ",getServingUnitsSandwich(T24)),"Default"), "")</f>
        <v/>
      </c>
      <c r="X24" s="87"/>
      <c r="Y24" s="87"/>
      <c r="Z24" s="87"/>
      <c r="AA24" s="80" t="str" cm="1">
        <f t="array" ref="AA24">IF(LEN(Y24)&gt;0, IF(getServingCountSandwich(Y24)&gt;0, _xlfn.CONCAT(getServingCountSandwich(Y24), " ", getServingUnitsSandwich(Y24)),"Default"), "")</f>
        <v/>
      </c>
      <c r="AB24" s="61"/>
      <c r="AC24" s="61"/>
      <c r="AD24" s="61"/>
      <c r="AE24" s="61"/>
      <c r="AF24" s="61"/>
      <c r="AG24" s="194"/>
      <c r="AH24" s="194"/>
      <c r="AI24" s="194"/>
      <c r="AJ24" s="194"/>
    </row>
    <row r="25" spans="1:36" ht="15" customHeight="1" x14ac:dyDescent="0.3">
      <c r="A25" s="62"/>
      <c r="B25" s="67"/>
      <c r="C25" s="67"/>
      <c r="D25" s="68"/>
      <c r="E25" s="66"/>
      <c r="F25" s="66"/>
      <c r="G25" s="66"/>
      <c r="H25" s="88" t="s">
        <v>272</v>
      </c>
      <c r="I25" s="88"/>
      <c r="J25" s="62"/>
      <c r="K25" s="74"/>
      <c r="L25" s="74"/>
      <c r="M25" s="75"/>
      <c r="N25" s="127" t="s">
        <v>178</v>
      </c>
      <c r="O25" s="172"/>
      <c r="P25" s="73"/>
      <c r="Q25" s="62"/>
      <c r="S25" s="61"/>
      <c r="T25" s="86"/>
      <c r="U25" s="79"/>
      <c r="V25" s="79"/>
      <c r="W25" s="80" t="str" cm="1">
        <f t="array" ref="W25">IF(LEN(T25)&gt;0, IF(getServingCountSandwich(T25)&gt;0, _xlfn.CONCAT(getServingCountSandwich(T25)," ",getServingUnitsSandwich(T25)),"Default"), "")</f>
        <v/>
      </c>
      <c r="X25" s="87"/>
      <c r="Y25" s="87"/>
      <c r="Z25" s="87"/>
      <c r="AA25" s="80" t="str" cm="1">
        <f t="array" ref="AA25">IF(LEN(Y25)&gt;0, IF(getServingCountSandwich(Y25)&gt;0, _xlfn.CONCAT(getServingCountSandwich(Y25), " ", getServingUnitsSandwich(Y25)),"Default"), "")</f>
        <v/>
      </c>
      <c r="AB25" s="61"/>
      <c r="AC25" s="61"/>
      <c r="AD25" s="61"/>
      <c r="AE25" s="61"/>
      <c r="AF25" s="61"/>
      <c r="AG25" s="194"/>
      <c r="AH25" s="194"/>
      <c r="AI25" s="194"/>
      <c r="AJ25" s="194"/>
    </row>
    <row r="26" spans="1:36" ht="15" customHeight="1" thickBot="1" x14ac:dyDescent="0.35">
      <c r="A26" s="62"/>
      <c r="B26" s="67"/>
      <c r="C26" s="67"/>
      <c r="D26" s="68"/>
      <c r="E26" s="66"/>
      <c r="F26" s="66"/>
      <c r="G26" s="66"/>
      <c r="H26" s="88" t="s">
        <v>273</v>
      </c>
      <c r="I26" s="88"/>
      <c r="J26" s="62"/>
      <c r="K26" s="67"/>
      <c r="L26" s="67"/>
      <c r="M26" s="68"/>
      <c r="N26" s="144" t="s">
        <v>179</v>
      </c>
      <c r="O26" s="157"/>
      <c r="P26" s="66"/>
      <c r="Q26" s="62"/>
      <c r="S26" s="61"/>
      <c r="T26" s="86"/>
      <c r="U26" s="79"/>
      <c r="V26" s="79"/>
      <c r="W26" s="80" t="str" cm="1">
        <f t="array" ref="W26">IF(LEN(T26)&gt;0, IF(getServingCountSandwich(T26)&gt;0, _xlfn.CONCAT(getServingCountSandwich(T26)," ",getServingUnitsSandwich(T26)),"Default"), "")</f>
        <v/>
      </c>
      <c r="X26" s="87"/>
      <c r="Y26" s="87"/>
      <c r="Z26" s="87"/>
      <c r="AA26" s="80" t="str" cm="1">
        <f t="array" ref="AA26">IF(LEN(Y26)&gt;0, IF(getServingCountSandwich(Y26)&gt;0, _xlfn.CONCAT(getServingCountSandwich(Y26), " ", getServingUnitsSandwich(Y26)),"Default"), "")</f>
        <v/>
      </c>
      <c r="AB26" s="61"/>
      <c r="AC26" s="61"/>
      <c r="AD26" s="61"/>
      <c r="AE26" s="61"/>
      <c r="AF26" s="61"/>
      <c r="AG26" s="194"/>
      <c r="AH26" s="194"/>
      <c r="AI26" s="194"/>
      <c r="AJ26" s="194"/>
    </row>
    <row r="27" spans="1:36" ht="15" customHeight="1" thickBot="1" x14ac:dyDescent="0.35">
      <c r="A27" s="62"/>
      <c r="B27" s="69" t="s">
        <v>262</v>
      </c>
      <c r="C27" s="69"/>
      <c r="D27" s="70"/>
      <c r="E27" s="130" t="s">
        <v>238</v>
      </c>
      <c r="F27" s="161"/>
      <c r="G27" s="153"/>
      <c r="H27" s="154" t="str">
        <f>VLOOKUP(E27, CheeseT[], 3, FALSE)</f>
        <v>Slices</v>
      </c>
      <c r="I27" s="73"/>
      <c r="J27" s="62"/>
      <c r="K27" s="67"/>
      <c r="L27" s="67"/>
      <c r="M27" s="68"/>
      <c r="N27" s="127" t="s">
        <v>180</v>
      </c>
      <c r="O27" s="158"/>
      <c r="P27" s="66"/>
      <c r="Q27" s="62"/>
      <c r="S27" s="61"/>
      <c r="T27" s="86"/>
      <c r="U27" s="79"/>
      <c r="V27" s="79"/>
      <c r="W27" s="80" t="str" cm="1">
        <f t="array" ref="W27">IF(LEN(T27)&gt;0, IF(getServingCountSandwich(T27)&gt;0, _xlfn.CONCAT(getServingCountSandwich(T27)," ",getServingUnitsSandwich(T27)),"Default"), "")</f>
        <v/>
      </c>
      <c r="X27" s="87"/>
      <c r="Y27" s="87"/>
      <c r="Z27" s="87"/>
      <c r="AA27" s="80" t="str" cm="1">
        <f t="array" ref="AA27">IF(LEN(Y27)&gt;0, IF(getServingCountSandwich(Y27)&gt;0, _xlfn.CONCAT(getServingCountSandwich(Y27), " ", getServingUnitsSandwich(Y27)),"Default"), "")</f>
        <v/>
      </c>
      <c r="AB27" s="61"/>
      <c r="AC27" s="61"/>
      <c r="AD27" s="61"/>
      <c r="AE27" s="61"/>
      <c r="AF27" s="61"/>
      <c r="AG27" s="194"/>
      <c r="AH27" s="194"/>
      <c r="AI27" s="194"/>
      <c r="AJ27" s="194"/>
    </row>
    <row r="28" spans="1:36" ht="15" customHeight="1" thickBot="1" x14ac:dyDescent="0.35">
      <c r="A28" s="62"/>
      <c r="B28" s="67"/>
      <c r="C28" s="67"/>
      <c r="D28" s="68"/>
      <c r="E28" s="127" t="s">
        <v>354</v>
      </c>
      <c r="F28" s="158"/>
      <c r="G28" s="66"/>
      <c r="H28" s="73"/>
      <c r="I28" s="73"/>
      <c r="J28" s="62"/>
      <c r="K28" s="74"/>
      <c r="L28" s="74"/>
      <c r="M28" s="75"/>
      <c r="N28" s="144" t="s">
        <v>181</v>
      </c>
      <c r="O28" s="133"/>
      <c r="P28" s="73"/>
      <c r="Q28" s="62"/>
      <c r="S28" s="61"/>
      <c r="T28" s="86"/>
      <c r="U28" s="79"/>
      <c r="V28" s="79"/>
      <c r="W28" s="80" t="str" cm="1">
        <f t="array" ref="W28">IF(LEN(T28)&gt;0, IF(getServingCountSandwich(T28)&gt;0, _xlfn.CONCAT(getServingCountSandwich(T28)," ",getServingUnitsSandwich(T28)),"Default"), "")</f>
        <v/>
      </c>
      <c r="X28" s="87"/>
      <c r="Y28" s="87"/>
      <c r="Z28" s="87"/>
      <c r="AA28" s="80" t="str" cm="1">
        <f t="array" ref="AA28">IF(LEN(Y28)&gt;0, IF(getServingCountSandwich(Y28)&gt;0, _xlfn.CONCAT(getServingCountSandwich(Y28), " ", getServingUnitsSandwich(Y28)),"Default"), "")</f>
        <v/>
      </c>
      <c r="AB28" s="61"/>
      <c r="AC28" s="61"/>
      <c r="AD28" s="61"/>
      <c r="AE28" s="61"/>
      <c r="AF28" s="61"/>
      <c r="AG28" s="194"/>
      <c r="AH28" s="194"/>
      <c r="AI28" s="194"/>
      <c r="AJ28" s="194"/>
    </row>
    <row r="29" spans="1:36" ht="15" customHeight="1" thickBot="1" x14ac:dyDescent="0.35">
      <c r="A29" s="62"/>
      <c r="B29" s="67"/>
      <c r="C29" s="67"/>
      <c r="D29" s="68"/>
      <c r="E29" s="125" t="s">
        <v>239</v>
      </c>
      <c r="F29" s="160"/>
      <c r="G29" s="171"/>
      <c r="H29" s="154" t="str">
        <f>VLOOKUP(E29, CheeseT[], 3, FALSE)</f>
        <v>Slices</v>
      </c>
      <c r="I29" s="73"/>
      <c r="J29" s="62"/>
      <c r="K29" s="67"/>
      <c r="L29" s="67"/>
      <c r="M29" s="68"/>
      <c r="N29" s="127" t="s">
        <v>182</v>
      </c>
      <c r="O29" s="158"/>
      <c r="P29" s="66"/>
      <c r="Q29" s="62"/>
      <c r="S29" s="61"/>
      <c r="T29" s="86"/>
      <c r="U29" s="79"/>
      <c r="V29" s="79"/>
      <c r="W29" s="80" t="str" cm="1">
        <f t="array" ref="W29">IF(LEN(T29)&gt;0, IF(getServingCountSandwich(T29)&gt;0, _xlfn.CONCAT(getServingCountSandwich(T29)," ",getServingUnitsSandwich(T29)),"Default"), "")</f>
        <v/>
      </c>
      <c r="X29" s="87"/>
      <c r="Y29" s="87"/>
      <c r="Z29" s="87"/>
      <c r="AA29" s="80" t="str" cm="1">
        <f t="array" ref="AA29">IF(LEN(Y29)&gt;0, IF(getServingCountSandwich(Y29)&gt;0, _xlfn.CONCAT(getServingCountSandwich(Y29), " ", getServingUnitsSandwich(Y29)),"Default"), "")</f>
        <v/>
      </c>
      <c r="AB29" s="61"/>
      <c r="AC29" s="61"/>
      <c r="AD29" s="61"/>
      <c r="AE29" s="61"/>
      <c r="AF29" s="61"/>
      <c r="AG29" s="194"/>
      <c r="AH29" s="194"/>
      <c r="AI29" s="194"/>
      <c r="AJ29" s="194"/>
    </row>
    <row r="30" spans="1:36" ht="15" customHeight="1" x14ac:dyDescent="0.3">
      <c r="A30" s="62"/>
      <c r="B30" s="67"/>
      <c r="C30" s="67"/>
      <c r="D30" s="68"/>
      <c r="E30" s="66"/>
      <c r="F30" s="66"/>
      <c r="G30" s="66"/>
      <c r="H30" s="66"/>
      <c r="I30" s="66"/>
      <c r="J30" s="62"/>
      <c r="K30" s="67"/>
      <c r="L30" s="67"/>
      <c r="M30" s="68"/>
      <c r="N30" s="144" t="s">
        <v>183</v>
      </c>
      <c r="O30" s="157"/>
      <c r="P30" s="66"/>
      <c r="Q30" s="62"/>
      <c r="S30" s="61"/>
      <c r="T30" s="87"/>
      <c r="U30" s="79"/>
      <c r="V30" s="79"/>
      <c r="W30" s="80" t="str" cm="1">
        <f t="array" ref="W30">IF(LEN(T30)&gt;0, IF(getServingCountSandwich(T30)&gt;0, _xlfn.CONCAT(getServingCountSandwich(T30)," ",getServingUnitsSandwich(T30)),"Default"), "")</f>
        <v/>
      </c>
      <c r="X30" s="87"/>
      <c r="Y30" s="87"/>
      <c r="Z30" s="87"/>
      <c r="AA30" s="80" t="str" cm="1">
        <f t="array" ref="AA30">IF(LEN(Y30)&gt;0, IF(getServingCountSandwich(Y30)&gt;0, _xlfn.CONCAT(getServingCountSandwich(Y30), " ", getServingUnitsSandwich(Y30)),"Default"), "")</f>
        <v/>
      </c>
      <c r="AB30" s="61"/>
      <c r="AC30" s="61"/>
      <c r="AD30" s="61"/>
      <c r="AE30" s="61"/>
      <c r="AF30" s="61"/>
      <c r="AG30" s="194"/>
      <c r="AH30" s="194"/>
      <c r="AI30" s="194"/>
      <c r="AJ30" s="194"/>
    </row>
    <row r="31" spans="1:36" ht="15" customHeight="1" x14ac:dyDescent="0.3">
      <c r="A31" s="62"/>
      <c r="B31" s="62"/>
      <c r="C31" s="62"/>
      <c r="D31" s="62"/>
      <c r="E31" s="62"/>
      <c r="F31" s="62"/>
      <c r="G31" s="62"/>
      <c r="H31" s="62"/>
      <c r="I31" s="62"/>
      <c r="J31" s="62"/>
      <c r="K31" s="67"/>
      <c r="L31" s="67"/>
      <c r="M31" s="68"/>
      <c r="N31" s="127" t="s">
        <v>184</v>
      </c>
      <c r="O31" s="158"/>
      <c r="P31" s="66"/>
      <c r="Q31" s="62"/>
      <c r="S31" s="61"/>
      <c r="T31" s="87"/>
      <c r="U31" s="79"/>
      <c r="V31" s="79"/>
      <c r="W31" s="80" t="str" cm="1">
        <f t="array" ref="W31">IF(LEN(T31)&gt;0, IF(getServingCountSandwich(T31)&gt;0, _xlfn.CONCAT(getServingCountSandwich(T31)," ",getServingUnitsSandwich(T31)),"Default"), "")</f>
        <v/>
      </c>
      <c r="X31" s="87"/>
      <c r="Y31" s="87"/>
      <c r="Z31" s="87"/>
      <c r="AA31" s="80" t="str" cm="1">
        <f t="array" ref="AA31">IF(LEN(Y31)&gt;0, IF(getServingCountSandwich(Y31)&gt;0, _xlfn.CONCAT(getServingCountSandwich(Y31), " ", getServingUnitsSandwich(Y31)),"Default"), "")</f>
        <v/>
      </c>
      <c r="AB31" s="61"/>
      <c r="AC31" s="61"/>
      <c r="AD31" s="61"/>
      <c r="AE31" s="61"/>
      <c r="AF31" s="61"/>
      <c r="AG31" s="194"/>
      <c r="AH31" s="194"/>
      <c r="AI31" s="194"/>
      <c r="AJ31" s="194"/>
    </row>
    <row r="32" spans="1:36" ht="15" customHeight="1" x14ac:dyDescent="0.3">
      <c r="A32" s="62"/>
      <c r="B32" s="62"/>
      <c r="C32" s="62"/>
      <c r="D32" s="62"/>
      <c r="E32" s="62"/>
      <c r="F32" s="62"/>
      <c r="G32" s="62"/>
      <c r="H32" s="62"/>
      <c r="I32" s="62"/>
      <c r="J32" s="62"/>
      <c r="K32" s="67"/>
      <c r="L32" s="67"/>
      <c r="M32" s="68"/>
      <c r="N32" s="144" t="s">
        <v>185</v>
      </c>
      <c r="O32" s="157"/>
      <c r="P32" s="66"/>
      <c r="Q32" s="62"/>
      <c r="S32" s="61"/>
      <c r="T32" s="87"/>
      <c r="U32" s="79"/>
      <c r="V32" s="79"/>
      <c r="W32" s="80" t="str" cm="1">
        <f t="array" ref="W32">IF(LEN(T32)&gt;0, IF(getServingCountSandwich(T32)&gt;0, _xlfn.CONCAT(getServingCountSandwich(T32)," ",getServingUnitsSandwich(T32)),"Default"), "")</f>
        <v/>
      </c>
      <c r="X32" s="87"/>
      <c r="Y32" s="87"/>
      <c r="Z32" s="87"/>
      <c r="AA32" s="80" t="str" cm="1">
        <f t="array" ref="AA32">IF(LEN(Y32)&gt;0, IF(getServingCountSandwich(Y32)&gt;0, _xlfn.CONCAT(getServingCountSandwich(Y32), " ", getServingUnitsSandwich(Y32)),"Default"), "")</f>
        <v/>
      </c>
      <c r="AB32" s="61"/>
      <c r="AC32" s="61"/>
      <c r="AD32" s="61"/>
      <c r="AE32" s="61"/>
      <c r="AF32" s="61"/>
      <c r="AG32" s="194"/>
      <c r="AH32" s="194"/>
      <c r="AI32" s="194"/>
      <c r="AJ32" s="194"/>
    </row>
    <row r="33" spans="1:36" ht="15" customHeight="1" x14ac:dyDescent="0.3">
      <c r="A33" s="62"/>
      <c r="B33" s="62"/>
      <c r="C33" s="62"/>
      <c r="D33" s="62"/>
      <c r="E33" s="89"/>
      <c r="F33" s="90"/>
      <c r="G33" s="90"/>
      <c r="H33" s="62"/>
      <c r="I33" s="62"/>
      <c r="J33" s="62"/>
      <c r="K33" s="67"/>
      <c r="L33" s="67"/>
      <c r="M33" s="68"/>
      <c r="N33" s="127" t="s">
        <v>186</v>
      </c>
      <c r="O33" s="158"/>
      <c r="P33" s="66"/>
      <c r="Q33" s="62"/>
      <c r="S33" s="61"/>
      <c r="T33" s="87"/>
      <c r="U33" s="79"/>
      <c r="V33" s="79"/>
      <c r="W33" s="80" t="str" cm="1">
        <f t="array" ref="W33">IF(LEN(T33)&gt;0, IF(getServingCountSandwich(T33)&gt;0, _xlfn.CONCAT(getServingCountSandwich(T33)," ",getServingUnitsSandwich(T33)),"Default"), "")</f>
        <v/>
      </c>
      <c r="X33" s="87"/>
      <c r="Y33" s="87"/>
      <c r="Z33" s="87"/>
      <c r="AA33" s="80" t="str" cm="1">
        <f t="array" ref="AA33">IF(LEN(Y33)&gt;0, IF(getServingCountSandwich(Y33)&gt;0, _xlfn.CONCAT(getServingCountSandwich(Y33), " ", getServingUnitsSandwich(Y33)),"Default"), "")</f>
        <v/>
      </c>
      <c r="AB33" s="61"/>
      <c r="AC33" s="61"/>
      <c r="AD33" s="61"/>
      <c r="AE33" s="61"/>
      <c r="AF33" s="61"/>
      <c r="AG33" s="194"/>
      <c r="AH33" s="194"/>
      <c r="AI33" s="194"/>
      <c r="AJ33" s="194"/>
    </row>
    <row r="34" spans="1:36" ht="15" customHeight="1" x14ac:dyDescent="0.3">
      <c r="A34" s="62"/>
      <c r="B34" s="62"/>
      <c r="C34" s="62"/>
      <c r="D34" s="62"/>
      <c r="E34" s="89"/>
      <c r="F34" s="90"/>
      <c r="G34" s="89"/>
      <c r="H34" s="62"/>
      <c r="I34" s="62"/>
      <c r="J34" s="62"/>
      <c r="K34" s="67"/>
      <c r="L34" s="67"/>
      <c r="M34" s="68"/>
      <c r="N34" s="144" t="s">
        <v>187</v>
      </c>
      <c r="O34" s="157"/>
      <c r="P34" s="66"/>
      <c r="Q34" s="62"/>
      <c r="S34" s="61"/>
      <c r="T34" s="87"/>
      <c r="U34" s="79"/>
      <c r="V34" s="79"/>
      <c r="W34" s="80" t="str" cm="1">
        <f t="array" ref="W34">IF(LEN(T34)&gt;0, IF(getServingCountSandwich(T34)&gt;0, _xlfn.CONCAT(getServingCountSandwich(T34)," ",getServingUnitsSandwich(T34)),"Default"), "")</f>
        <v/>
      </c>
      <c r="X34" s="87"/>
      <c r="Y34" s="87"/>
      <c r="Z34" s="87"/>
      <c r="AA34" s="80" t="str" cm="1">
        <f t="array" ref="AA34">IF(LEN(Y34)&gt;0, IF(getServingCountSandwich(Y34)&gt;0, _xlfn.CONCAT(getServingCountSandwich(Y34), " ", getServingUnitsSandwich(Y34)),"Default"), "")</f>
        <v/>
      </c>
      <c r="AB34" s="61"/>
      <c r="AC34" s="61"/>
      <c r="AD34" s="61"/>
      <c r="AE34" s="61"/>
      <c r="AF34" s="61"/>
      <c r="AG34" s="194"/>
      <c r="AH34" s="194"/>
      <c r="AI34" s="194"/>
      <c r="AJ34" s="194"/>
    </row>
    <row r="35" spans="1:36" ht="15" customHeight="1" thickBot="1" x14ac:dyDescent="0.35">
      <c r="A35" s="62"/>
      <c r="B35" s="62"/>
      <c r="C35" s="62"/>
      <c r="D35" s="62"/>
      <c r="E35" s="62"/>
      <c r="F35" s="62"/>
      <c r="G35" s="62"/>
      <c r="H35" s="62"/>
      <c r="I35" s="62"/>
      <c r="J35" s="62"/>
      <c r="K35" s="67"/>
      <c r="L35" s="67"/>
      <c r="M35" s="68"/>
      <c r="N35" s="138" t="s">
        <v>188</v>
      </c>
      <c r="O35" s="173"/>
      <c r="P35" s="66"/>
      <c r="Q35" s="62"/>
      <c r="S35" s="61"/>
      <c r="T35" s="61"/>
      <c r="U35" s="61"/>
      <c r="V35" s="61"/>
      <c r="W35" s="61"/>
      <c r="X35" s="61"/>
      <c r="Y35" s="61"/>
      <c r="Z35" s="61"/>
      <c r="AA35" s="61"/>
      <c r="AB35" s="61"/>
      <c r="AC35" s="61"/>
      <c r="AD35" s="61"/>
      <c r="AE35" s="61"/>
      <c r="AF35" s="61"/>
      <c r="AG35" s="194"/>
      <c r="AH35" s="194"/>
      <c r="AI35" s="194"/>
      <c r="AJ35" s="194"/>
    </row>
    <row r="36" spans="1:36" ht="15" customHeight="1" thickBot="1" x14ac:dyDescent="0.35">
      <c r="A36" s="62"/>
      <c r="B36" s="62"/>
      <c r="C36" s="62"/>
      <c r="D36" s="62"/>
      <c r="E36" s="62"/>
      <c r="F36" s="62"/>
      <c r="G36" s="91"/>
      <c r="H36" s="62"/>
      <c r="I36" s="62"/>
      <c r="J36" s="62"/>
      <c r="K36" s="67"/>
      <c r="L36" s="67"/>
      <c r="M36" s="68"/>
      <c r="N36" s="66"/>
      <c r="O36" s="66"/>
      <c r="P36" s="66"/>
      <c r="Q36" s="62"/>
      <c r="S36" s="283"/>
      <c r="T36" s="283"/>
      <c r="U36" s="283"/>
      <c r="V36" s="283"/>
      <c r="W36" s="283"/>
      <c r="X36" s="283"/>
      <c r="Y36" s="283"/>
      <c r="Z36" s="283"/>
      <c r="AA36" s="283"/>
      <c r="AB36" s="283"/>
      <c r="AC36" s="283"/>
      <c r="AD36" s="283"/>
      <c r="AE36" s="283"/>
      <c r="AF36" s="283"/>
      <c r="AG36" s="194"/>
      <c r="AH36" s="194"/>
      <c r="AI36" s="194"/>
      <c r="AJ36" s="194"/>
    </row>
    <row r="37" spans="1:36" ht="15" customHeight="1" x14ac:dyDescent="0.3">
      <c r="A37" s="62"/>
      <c r="B37" s="62"/>
      <c r="C37" s="62"/>
      <c r="D37" s="62"/>
      <c r="E37" s="62"/>
      <c r="F37" s="62"/>
      <c r="G37" s="91"/>
      <c r="H37" s="62"/>
      <c r="I37" s="62"/>
      <c r="J37" s="62"/>
      <c r="K37" s="69" t="s">
        <v>321</v>
      </c>
      <c r="L37" s="69"/>
      <c r="M37" s="70"/>
      <c r="N37" s="136" t="s">
        <v>201</v>
      </c>
      <c r="O37" s="174"/>
      <c r="P37" s="73"/>
      <c r="Q37" s="62"/>
      <c r="S37" s="283"/>
      <c r="T37" s="283"/>
      <c r="U37" s="283"/>
      <c r="V37" s="283"/>
      <c r="W37" s="283"/>
      <c r="X37" s="283"/>
      <c r="Y37" s="283"/>
      <c r="Z37" s="283"/>
      <c r="AA37" s="283"/>
      <c r="AB37" s="283"/>
      <c r="AC37" s="283"/>
      <c r="AD37" s="283"/>
      <c r="AE37" s="283"/>
      <c r="AF37" s="283"/>
      <c r="AG37" s="194"/>
      <c r="AH37" s="194"/>
      <c r="AI37" s="194"/>
      <c r="AJ37" s="194"/>
    </row>
    <row r="38" spans="1:36" ht="15" customHeight="1" thickBot="1" x14ac:dyDescent="0.35">
      <c r="A38" s="62"/>
      <c r="B38" s="62"/>
      <c r="C38" s="62"/>
      <c r="D38" s="62"/>
      <c r="E38" s="62"/>
      <c r="F38" s="62"/>
      <c r="G38" s="91"/>
      <c r="H38" s="62"/>
      <c r="I38" s="62"/>
      <c r="J38" s="62"/>
      <c r="K38" s="74"/>
      <c r="L38" s="74"/>
      <c r="M38" s="75"/>
      <c r="N38" s="125" t="s">
        <v>202</v>
      </c>
      <c r="O38" s="145"/>
      <c r="P38" s="73"/>
      <c r="Q38" s="62"/>
      <c r="S38" s="283"/>
      <c r="T38" s="283"/>
      <c r="U38" s="283"/>
      <c r="V38" s="283"/>
      <c r="W38" s="283"/>
      <c r="X38" s="283"/>
      <c r="Y38" s="283"/>
      <c r="Z38" s="283"/>
      <c r="AA38" s="283"/>
      <c r="AB38" s="283"/>
      <c r="AC38" s="283"/>
      <c r="AD38" s="283"/>
      <c r="AE38" s="283"/>
      <c r="AF38" s="283"/>
      <c r="AG38" s="194"/>
      <c r="AH38" s="194"/>
      <c r="AI38" s="194"/>
      <c r="AJ38" s="194"/>
    </row>
    <row r="39" spans="1:36" ht="15" customHeight="1" x14ac:dyDescent="0.3">
      <c r="A39" s="62"/>
      <c r="B39" s="62"/>
      <c r="C39" s="62"/>
      <c r="D39" s="62"/>
      <c r="E39" s="62"/>
      <c r="F39" s="62"/>
      <c r="G39" s="91"/>
      <c r="H39" s="62"/>
      <c r="I39" s="62"/>
      <c r="J39" s="62"/>
      <c r="K39" s="97"/>
      <c r="L39" s="97"/>
      <c r="M39" s="66"/>
      <c r="N39" s="66"/>
      <c r="O39" s="66"/>
      <c r="P39" s="66"/>
      <c r="Q39" s="62"/>
      <c r="S39" s="283"/>
      <c r="T39" s="283"/>
      <c r="U39" s="283"/>
      <c r="V39" s="283"/>
      <c r="W39" s="283"/>
      <c r="X39" s="283"/>
      <c r="Y39" s="283"/>
      <c r="Z39" s="283"/>
      <c r="AA39" s="283"/>
      <c r="AB39" s="283"/>
      <c r="AC39" s="283"/>
      <c r="AD39" s="283"/>
      <c r="AE39" s="283"/>
      <c r="AF39" s="283"/>
      <c r="AG39" s="194"/>
      <c r="AH39" s="194"/>
      <c r="AI39" s="194"/>
      <c r="AJ39" s="194"/>
    </row>
    <row r="40" spans="1:36" s="197" customFormat="1" ht="15" customHeight="1" x14ac:dyDescent="0.3">
      <c r="A40" s="98"/>
      <c r="B40" s="98"/>
      <c r="C40" s="98"/>
      <c r="D40" s="98"/>
      <c r="E40" s="98"/>
      <c r="F40" s="98"/>
      <c r="G40" s="98"/>
      <c r="H40" s="98"/>
      <c r="I40" s="98"/>
      <c r="J40" s="98"/>
      <c r="K40" s="98"/>
      <c r="L40" s="98"/>
      <c r="M40" s="98"/>
      <c r="N40" s="98"/>
      <c r="O40" s="98"/>
      <c r="P40" s="98"/>
      <c r="Q40" s="98"/>
      <c r="R40" s="196"/>
      <c r="S40" s="253"/>
      <c r="T40" s="253"/>
      <c r="U40" s="253"/>
      <c r="V40" s="253"/>
      <c r="W40" s="253"/>
      <c r="X40" s="253"/>
      <c r="Y40" s="253"/>
      <c r="Z40" s="253"/>
      <c r="AA40" s="253"/>
      <c r="AB40" s="253"/>
      <c r="AC40" s="253"/>
      <c r="AD40" s="253"/>
      <c r="AE40" s="253"/>
      <c r="AF40" s="253"/>
      <c r="AG40" s="196"/>
      <c r="AH40" s="196"/>
      <c r="AI40" s="196"/>
      <c r="AJ40" s="196"/>
    </row>
    <row r="41" spans="1:36" ht="15" customHeight="1" x14ac:dyDescent="0.3">
      <c r="A41" s="194"/>
      <c r="B41" s="194"/>
      <c r="C41" s="194"/>
      <c r="D41" s="194"/>
      <c r="E41" s="194"/>
      <c r="F41" s="194"/>
      <c r="G41" s="194"/>
      <c r="H41" s="194"/>
      <c r="I41" s="194"/>
      <c r="J41" s="194"/>
      <c r="K41" s="194"/>
      <c r="L41" s="194"/>
      <c r="M41" s="194"/>
      <c r="N41" s="194"/>
      <c r="O41" s="194"/>
      <c r="P41" s="194"/>
      <c r="Q41" s="194"/>
      <c r="R41" s="194"/>
      <c r="S41" s="194"/>
      <c r="T41" s="194"/>
      <c r="U41" s="194"/>
      <c r="V41" s="194"/>
      <c r="X41" s="194"/>
      <c r="Y41" s="194"/>
      <c r="Z41" s="194"/>
      <c r="AA41" s="194"/>
      <c r="AB41" s="194"/>
      <c r="AC41" s="194"/>
      <c r="AD41" s="194"/>
      <c r="AE41" s="194"/>
      <c r="AF41" s="194"/>
      <c r="AG41" s="194"/>
      <c r="AH41" s="194"/>
      <c r="AI41" s="194"/>
      <c r="AJ41" s="194"/>
    </row>
    <row r="42" spans="1:36" ht="15" customHeight="1" x14ac:dyDescent="0.3">
      <c r="A42" s="194"/>
      <c r="F42" s="194"/>
      <c r="G42" s="194"/>
      <c r="H42" s="194"/>
      <c r="I42" s="194"/>
      <c r="J42" s="194"/>
      <c r="K42" s="194"/>
      <c r="L42" s="194"/>
      <c r="M42" s="194"/>
      <c r="N42" s="194"/>
      <c r="O42" s="194"/>
      <c r="P42" s="194"/>
      <c r="Q42" s="194"/>
      <c r="R42" s="194"/>
      <c r="S42" s="194"/>
      <c r="T42" s="194"/>
      <c r="U42" s="194"/>
      <c r="V42" s="194"/>
      <c r="W42" s="194"/>
      <c r="X42" s="194"/>
      <c r="Y42" s="194"/>
      <c r="Z42" s="194"/>
      <c r="AA42" s="194"/>
      <c r="AB42" s="194"/>
      <c r="AC42" s="194"/>
      <c r="AD42" s="194"/>
      <c r="AE42" s="194"/>
      <c r="AF42" s="194"/>
      <c r="AG42" s="194"/>
      <c r="AH42" s="194"/>
      <c r="AI42" s="194"/>
      <c r="AJ42" s="194"/>
    </row>
    <row r="43" spans="1:36" ht="15" customHeight="1" x14ac:dyDescent="0.3">
      <c r="A43" s="195"/>
      <c r="B43" s="195"/>
      <c r="C43" s="195"/>
      <c r="D43" s="195"/>
      <c r="E43" s="195"/>
      <c r="F43" s="195"/>
      <c r="G43" s="195"/>
      <c r="H43" s="194"/>
      <c r="I43" s="194"/>
      <c r="J43" s="195"/>
      <c r="K43" s="195"/>
      <c r="L43" s="195"/>
      <c r="M43" s="195"/>
      <c r="N43" s="195"/>
      <c r="O43" s="195"/>
      <c r="P43" s="195"/>
      <c r="Q43" s="195"/>
      <c r="R43" s="195"/>
      <c r="S43" s="195"/>
      <c r="T43" s="195"/>
      <c r="U43" s="195"/>
      <c r="V43" s="195"/>
      <c r="W43" s="194"/>
      <c r="X43" s="195"/>
      <c r="Y43" s="195"/>
      <c r="Z43" s="195"/>
      <c r="AA43" s="195"/>
      <c r="AB43" s="195"/>
      <c r="AC43" s="195"/>
      <c r="AD43" s="195"/>
      <c r="AE43" s="195"/>
      <c r="AF43" s="195"/>
    </row>
    <row r="44" spans="1:36" ht="15" customHeight="1" x14ac:dyDescent="0.3">
      <c r="A44" s="198"/>
      <c r="F44" s="198"/>
      <c r="G44" s="198"/>
      <c r="H44" s="194"/>
      <c r="I44" s="194"/>
      <c r="J44" s="198"/>
      <c r="K44" s="198"/>
      <c r="L44" s="198"/>
      <c r="M44" s="198"/>
      <c r="N44" s="198"/>
      <c r="O44" s="198"/>
      <c r="P44" s="198"/>
      <c r="Q44" s="198"/>
      <c r="W44" s="195"/>
    </row>
    <row r="45" spans="1:36" ht="15" customHeight="1" x14ac:dyDescent="0.3">
      <c r="H45" s="194"/>
      <c r="I45" s="194"/>
    </row>
  </sheetData>
  <mergeCells count="5">
    <mergeCell ref="T1:AE3"/>
    <mergeCell ref="E9:H9"/>
    <mergeCell ref="E7:H7"/>
    <mergeCell ref="E5:H5"/>
    <mergeCell ref="A1:Q3"/>
  </mergeCells>
  <conditionalFormatting sqref="W7:W8">
    <cfRule type="expression" dxfId="2" priority="2">
      <formula>LEN(#REF!)&gt;0</formula>
    </cfRule>
  </conditionalFormatting>
  <conditionalFormatting sqref="W10">
    <cfRule type="expression" dxfId="1" priority="1">
      <formula>LEN(#REF!)&gt;0</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69" r:id="rId4" name="Check Box 21">
              <controlPr defaultSize="0" autoFill="0" autoLine="0" autoPict="0">
                <anchor moveWithCells="1">
                  <from>
                    <xdr:col>5</xdr:col>
                    <xdr:colOff>0</xdr:colOff>
                    <xdr:row>12</xdr:row>
                    <xdr:rowOff>0</xdr:rowOff>
                  </from>
                  <to>
                    <xdr:col>5</xdr:col>
                    <xdr:colOff>247650</xdr:colOff>
                    <xdr:row>13</xdr:row>
                    <xdr:rowOff>0</xdr:rowOff>
                  </to>
                </anchor>
              </controlPr>
            </control>
          </mc:Choice>
        </mc:AlternateContent>
        <mc:AlternateContent xmlns:mc="http://schemas.openxmlformats.org/markup-compatibility/2006">
          <mc:Choice Requires="x14">
            <control shapeId="2070" r:id="rId5" name="Check Box 22">
              <controlPr defaultSize="0" autoFill="0" autoLine="0" autoPict="0">
                <anchor moveWithCells="1">
                  <from>
                    <xdr:col>5</xdr:col>
                    <xdr:colOff>0</xdr:colOff>
                    <xdr:row>13</xdr:row>
                    <xdr:rowOff>0</xdr:rowOff>
                  </from>
                  <to>
                    <xdr:col>5</xdr:col>
                    <xdr:colOff>247650</xdr:colOff>
                    <xdr:row>14</xdr:row>
                    <xdr:rowOff>0</xdr:rowOff>
                  </to>
                </anchor>
              </controlPr>
            </control>
          </mc:Choice>
        </mc:AlternateContent>
        <mc:AlternateContent xmlns:mc="http://schemas.openxmlformats.org/markup-compatibility/2006">
          <mc:Choice Requires="x14">
            <control shapeId="2071" r:id="rId6" name="Check Box 23">
              <controlPr defaultSize="0" autoFill="0" autoLine="0" autoPict="0">
                <anchor moveWithCells="1">
                  <from>
                    <xdr:col>5</xdr:col>
                    <xdr:colOff>0</xdr:colOff>
                    <xdr:row>14</xdr:row>
                    <xdr:rowOff>0</xdr:rowOff>
                  </from>
                  <to>
                    <xdr:col>5</xdr:col>
                    <xdr:colOff>247650</xdr:colOff>
                    <xdr:row>15</xdr:row>
                    <xdr:rowOff>0</xdr:rowOff>
                  </to>
                </anchor>
              </controlPr>
            </control>
          </mc:Choice>
        </mc:AlternateContent>
        <mc:AlternateContent xmlns:mc="http://schemas.openxmlformats.org/markup-compatibility/2006">
          <mc:Choice Requires="x14">
            <control shapeId="2072" r:id="rId7" name="Check Box 24">
              <controlPr defaultSize="0" autoFill="0" autoLine="0" autoPict="0">
                <anchor moveWithCells="1">
                  <from>
                    <xdr:col>5</xdr:col>
                    <xdr:colOff>0</xdr:colOff>
                    <xdr:row>15</xdr:row>
                    <xdr:rowOff>0</xdr:rowOff>
                  </from>
                  <to>
                    <xdr:col>5</xdr:col>
                    <xdr:colOff>247650</xdr:colOff>
                    <xdr:row>16</xdr:row>
                    <xdr:rowOff>0</xdr:rowOff>
                  </to>
                </anchor>
              </controlPr>
            </control>
          </mc:Choice>
        </mc:AlternateContent>
        <mc:AlternateContent xmlns:mc="http://schemas.openxmlformats.org/markup-compatibility/2006">
          <mc:Choice Requires="x14">
            <control shapeId="2073" r:id="rId8" name="Check Box 25">
              <controlPr defaultSize="0" autoFill="0" autoLine="0" autoPict="0">
                <anchor moveWithCells="1">
                  <from>
                    <xdr:col>5</xdr:col>
                    <xdr:colOff>0</xdr:colOff>
                    <xdr:row>16</xdr:row>
                    <xdr:rowOff>0</xdr:rowOff>
                  </from>
                  <to>
                    <xdr:col>5</xdr:col>
                    <xdr:colOff>247650</xdr:colOff>
                    <xdr:row>17</xdr:row>
                    <xdr:rowOff>0</xdr:rowOff>
                  </to>
                </anchor>
              </controlPr>
            </control>
          </mc:Choice>
        </mc:AlternateContent>
        <mc:AlternateContent xmlns:mc="http://schemas.openxmlformats.org/markup-compatibility/2006">
          <mc:Choice Requires="x14">
            <control shapeId="2074" r:id="rId9" name="Check Box 26">
              <controlPr defaultSize="0" autoFill="0" autoLine="0" autoPict="0">
                <anchor moveWithCells="1">
                  <from>
                    <xdr:col>5</xdr:col>
                    <xdr:colOff>0</xdr:colOff>
                    <xdr:row>17</xdr:row>
                    <xdr:rowOff>0</xdr:rowOff>
                  </from>
                  <to>
                    <xdr:col>5</xdr:col>
                    <xdr:colOff>247650</xdr:colOff>
                    <xdr:row>18</xdr:row>
                    <xdr:rowOff>0</xdr:rowOff>
                  </to>
                </anchor>
              </controlPr>
            </control>
          </mc:Choice>
        </mc:AlternateContent>
        <mc:AlternateContent xmlns:mc="http://schemas.openxmlformats.org/markup-compatibility/2006">
          <mc:Choice Requires="x14">
            <control shapeId="2075" r:id="rId10" name="Check Box 27">
              <controlPr defaultSize="0" autoFill="0" autoLine="0" autoPict="0">
                <anchor moveWithCells="1">
                  <from>
                    <xdr:col>5</xdr:col>
                    <xdr:colOff>0</xdr:colOff>
                    <xdr:row>18</xdr:row>
                    <xdr:rowOff>0</xdr:rowOff>
                  </from>
                  <to>
                    <xdr:col>5</xdr:col>
                    <xdr:colOff>247650</xdr:colOff>
                    <xdr:row>19</xdr:row>
                    <xdr:rowOff>0</xdr:rowOff>
                  </to>
                </anchor>
              </controlPr>
            </control>
          </mc:Choice>
        </mc:AlternateContent>
        <mc:AlternateContent xmlns:mc="http://schemas.openxmlformats.org/markup-compatibility/2006">
          <mc:Choice Requires="x14">
            <control shapeId="2076" r:id="rId11" name="Check Box 28">
              <controlPr defaultSize="0" autoFill="0" autoLine="0" autoPict="0">
                <anchor moveWithCells="1">
                  <from>
                    <xdr:col>5</xdr:col>
                    <xdr:colOff>0</xdr:colOff>
                    <xdr:row>19</xdr:row>
                    <xdr:rowOff>0</xdr:rowOff>
                  </from>
                  <to>
                    <xdr:col>5</xdr:col>
                    <xdr:colOff>247650</xdr:colOff>
                    <xdr:row>20</xdr:row>
                    <xdr:rowOff>0</xdr:rowOff>
                  </to>
                </anchor>
              </controlPr>
            </control>
          </mc:Choice>
        </mc:AlternateContent>
        <mc:AlternateContent xmlns:mc="http://schemas.openxmlformats.org/markup-compatibility/2006">
          <mc:Choice Requires="x14">
            <control shapeId="2077" r:id="rId12" name="Check Box 29">
              <controlPr defaultSize="0" autoFill="0" autoLine="0" autoPict="0">
                <anchor moveWithCells="1">
                  <from>
                    <xdr:col>5</xdr:col>
                    <xdr:colOff>0</xdr:colOff>
                    <xdr:row>20</xdr:row>
                    <xdr:rowOff>0</xdr:rowOff>
                  </from>
                  <to>
                    <xdr:col>5</xdr:col>
                    <xdr:colOff>247650</xdr:colOff>
                    <xdr:row>21</xdr:row>
                    <xdr:rowOff>0</xdr:rowOff>
                  </to>
                </anchor>
              </controlPr>
            </control>
          </mc:Choice>
        </mc:AlternateContent>
        <mc:AlternateContent xmlns:mc="http://schemas.openxmlformats.org/markup-compatibility/2006">
          <mc:Choice Requires="x14">
            <control shapeId="2078" r:id="rId13" name="Check Box 30">
              <controlPr defaultSize="0" autoFill="0" autoLine="0" autoPict="0">
                <anchor moveWithCells="1">
                  <from>
                    <xdr:col>5</xdr:col>
                    <xdr:colOff>0</xdr:colOff>
                    <xdr:row>21</xdr:row>
                    <xdr:rowOff>0</xdr:rowOff>
                  </from>
                  <to>
                    <xdr:col>5</xdr:col>
                    <xdr:colOff>247650</xdr:colOff>
                    <xdr:row>22</xdr:row>
                    <xdr:rowOff>0</xdr:rowOff>
                  </to>
                </anchor>
              </controlPr>
            </control>
          </mc:Choice>
        </mc:AlternateContent>
        <mc:AlternateContent xmlns:mc="http://schemas.openxmlformats.org/markup-compatibility/2006">
          <mc:Choice Requires="x14">
            <control shapeId="2079" r:id="rId14" name="Check Box 31">
              <controlPr defaultSize="0" autoFill="0" autoLine="0" autoPict="0">
                <anchor moveWithCells="1">
                  <from>
                    <xdr:col>5</xdr:col>
                    <xdr:colOff>0</xdr:colOff>
                    <xdr:row>22</xdr:row>
                    <xdr:rowOff>0</xdr:rowOff>
                  </from>
                  <to>
                    <xdr:col>5</xdr:col>
                    <xdr:colOff>247650</xdr:colOff>
                    <xdr:row>23</xdr:row>
                    <xdr:rowOff>0</xdr:rowOff>
                  </to>
                </anchor>
              </controlPr>
            </control>
          </mc:Choice>
        </mc:AlternateContent>
        <mc:AlternateContent xmlns:mc="http://schemas.openxmlformats.org/markup-compatibility/2006">
          <mc:Choice Requires="x14">
            <control shapeId="2087" r:id="rId15" name="Check Box 39">
              <controlPr defaultSize="0" autoFill="0" autoLine="0" autoPict="0">
                <anchor moveWithCells="1">
                  <from>
                    <xdr:col>13</xdr:col>
                    <xdr:colOff>1822450</xdr:colOff>
                    <xdr:row>4</xdr:row>
                    <xdr:rowOff>0</xdr:rowOff>
                  </from>
                  <to>
                    <xdr:col>15</xdr:col>
                    <xdr:colOff>0</xdr:colOff>
                    <xdr:row>5</xdr:row>
                    <xdr:rowOff>0</xdr:rowOff>
                  </to>
                </anchor>
              </controlPr>
            </control>
          </mc:Choice>
        </mc:AlternateContent>
        <mc:AlternateContent xmlns:mc="http://schemas.openxmlformats.org/markup-compatibility/2006">
          <mc:Choice Requires="x14">
            <control shapeId="2089" r:id="rId16" name="Check Box 41">
              <controlPr defaultSize="0" autoFill="0" autoLine="0" autoPict="0">
                <anchor moveWithCells="1">
                  <from>
                    <xdr:col>13</xdr:col>
                    <xdr:colOff>1822450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2090" r:id="rId17" name="Check Box 42">
              <controlPr defaultSize="0" autoFill="0" autoLine="0" autoPict="0">
                <anchor moveWithCells="1">
                  <from>
                    <xdr:col>13</xdr:col>
                    <xdr:colOff>1822450</xdr:colOff>
                    <xdr:row>6</xdr:row>
                    <xdr:rowOff>0</xdr:rowOff>
                  </from>
                  <to>
                    <xdr:col>15</xdr:col>
                    <xdr:colOff>0</xdr:colOff>
                    <xdr:row>7</xdr:row>
                    <xdr:rowOff>0</xdr:rowOff>
                  </to>
                </anchor>
              </controlPr>
            </control>
          </mc:Choice>
        </mc:AlternateContent>
        <mc:AlternateContent xmlns:mc="http://schemas.openxmlformats.org/markup-compatibility/2006">
          <mc:Choice Requires="x14">
            <control shapeId="2091" r:id="rId18" name="Check Box 43">
              <controlPr defaultSize="0" autoFill="0" autoLine="0" autoPict="0">
                <anchor moveWithCells="1">
                  <from>
                    <xdr:col>13</xdr:col>
                    <xdr:colOff>1822450</xdr:colOff>
                    <xdr:row>6</xdr:row>
                    <xdr:rowOff>190500</xdr:rowOff>
                  </from>
                  <to>
                    <xdr:col>15</xdr:col>
                    <xdr:colOff>0</xdr:colOff>
                    <xdr:row>8</xdr:row>
                    <xdr:rowOff>0</xdr:rowOff>
                  </to>
                </anchor>
              </controlPr>
            </control>
          </mc:Choice>
        </mc:AlternateContent>
        <mc:AlternateContent xmlns:mc="http://schemas.openxmlformats.org/markup-compatibility/2006">
          <mc:Choice Requires="x14">
            <control shapeId="2092" r:id="rId19" name="Check Box 44">
              <controlPr defaultSize="0" autoFill="0" autoLine="0" autoPict="0">
                <anchor moveWithCells="1">
                  <from>
                    <xdr:col>14</xdr:col>
                    <xdr:colOff>0</xdr:colOff>
                    <xdr:row>8</xdr:row>
                    <xdr:rowOff>0</xdr:rowOff>
                  </from>
                  <to>
                    <xdr:col>15</xdr:col>
                    <xdr:colOff>0</xdr:colOff>
                    <xdr:row>9</xdr:row>
                    <xdr:rowOff>0</xdr:rowOff>
                  </to>
                </anchor>
              </controlPr>
            </control>
          </mc:Choice>
        </mc:AlternateContent>
        <mc:AlternateContent xmlns:mc="http://schemas.openxmlformats.org/markup-compatibility/2006">
          <mc:Choice Requires="x14">
            <control shapeId="2093" r:id="rId20" name="Check Box 45">
              <controlPr defaultSize="0" autoFill="0" autoLine="0" autoPict="0">
                <anchor moveWithCells="1">
                  <from>
                    <xdr:col>13</xdr:col>
                    <xdr:colOff>1822450</xdr:colOff>
                    <xdr:row>9</xdr:row>
                    <xdr:rowOff>0</xdr:rowOff>
                  </from>
                  <to>
                    <xdr:col>15</xdr:col>
                    <xdr:colOff>0</xdr:colOff>
                    <xdr:row>10</xdr:row>
                    <xdr:rowOff>0</xdr:rowOff>
                  </to>
                </anchor>
              </controlPr>
            </control>
          </mc:Choice>
        </mc:AlternateContent>
        <mc:AlternateContent xmlns:mc="http://schemas.openxmlformats.org/markup-compatibility/2006">
          <mc:Choice Requires="x14">
            <control shapeId="2094" r:id="rId21" name="Check Box 46">
              <controlPr defaultSize="0" autoFill="0" autoLine="0" autoPict="0">
                <anchor moveWithCells="1">
                  <from>
                    <xdr:col>13</xdr:col>
                    <xdr:colOff>1822450</xdr:colOff>
                    <xdr:row>10</xdr:row>
                    <xdr:rowOff>0</xdr:rowOff>
                  </from>
                  <to>
                    <xdr:col>15</xdr:col>
                    <xdr:colOff>0</xdr:colOff>
                    <xdr:row>11</xdr:row>
                    <xdr:rowOff>0</xdr:rowOff>
                  </to>
                </anchor>
              </controlPr>
            </control>
          </mc:Choice>
        </mc:AlternateContent>
        <mc:AlternateContent xmlns:mc="http://schemas.openxmlformats.org/markup-compatibility/2006">
          <mc:Choice Requires="x14">
            <control shapeId="2095" r:id="rId22" name="Check Box 47">
              <controlPr defaultSize="0" autoFill="0" autoLine="0" autoPict="0">
                <anchor moveWithCells="1">
                  <from>
                    <xdr:col>13</xdr:col>
                    <xdr:colOff>1822450</xdr:colOff>
                    <xdr:row>11</xdr:row>
                    <xdr:rowOff>0</xdr:rowOff>
                  </from>
                  <to>
                    <xdr:col>15</xdr:col>
                    <xdr:colOff>0</xdr:colOff>
                    <xdr:row>12</xdr:row>
                    <xdr:rowOff>0</xdr:rowOff>
                  </to>
                </anchor>
              </controlPr>
            </control>
          </mc:Choice>
        </mc:AlternateContent>
        <mc:AlternateContent xmlns:mc="http://schemas.openxmlformats.org/markup-compatibility/2006">
          <mc:Choice Requires="x14">
            <control shapeId="2096" r:id="rId23" name="Check Box 48">
              <controlPr defaultSize="0" autoFill="0" autoLine="0" autoPict="0">
                <anchor moveWithCells="1">
                  <from>
                    <xdr:col>14</xdr:col>
                    <xdr:colOff>0</xdr:colOff>
                    <xdr:row>12</xdr:row>
                    <xdr:rowOff>0</xdr:rowOff>
                  </from>
                  <to>
                    <xdr:col>15</xdr:col>
                    <xdr:colOff>6350</xdr:colOff>
                    <xdr:row>13</xdr:row>
                    <xdr:rowOff>0</xdr:rowOff>
                  </to>
                </anchor>
              </controlPr>
            </control>
          </mc:Choice>
        </mc:AlternateContent>
        <mc:AlternateContent xmlns:mc="http://schemas.openxmlformats.org/markup-compatibility/2006">
          <mc:Choice Requires="x14">
            <control shapeId="2097" r:id="rId24" name="Check Box 49">
              <controlPr defaultSize="0" autoFill="0" autoLine="0" autoPict="0">
                <anchor moveWithCells="1">
                  <from>
                    <xdr:col>13</xdr:col>
                    <xdr:colOff>1822450</xdr:colOff>
                    <xdr:row>13</xdr:row>
                    <xdr:rowOff>0</xdr:rowOff>
                  </from>
                  <to>
                    <xdr:col>15</xdr:col>
                    <xdr:colOff>0</xdr:colOff>
                    <xdr:row>14</xdr:row>
                    <xdr:rowOff>0</xdr:rowOff>
                  </to>
                </anchor>
              </controlPr>
            </control>
          </mc:Choice>
        </mc:AlternateContent>
        <mc:AlternateContent xmlns:mc="http://schemas.openxmlformats.org/markup-compatibility/2006">
          <mc:Choice Requires="x14">
            <control shapeId="2098" r:id="rId25" name="Check Box 50">
              <controlPr defaultSize="0" autoFill="0" autoLine="0" autoPict="0">
                <anchor moveWithCells="1">
                  <from>
                    <xdr:col>13</xdr:col>
                    <xdr:colOff>1822450</xdr:colOff>
                    <xdr:row>14</xdr:row>
                    <xdr:rowOff>0</xdr:rowOff>
                  </from>
                  <to>
                    <xdr:col>15</xdr:col>
                    <xdr:colOff>0</xdr:colOff>
                    <xdr:row>15</xdr:row>
                    <xdr:rowOff>0</xdr:rowOff>
                  </to>
                </anchor>
              </controlPr>
            </control>
          </mc:Choice>
        </mc:AlternateContent>
        <mc:AlternateContent xmlns:mc="http://schemas.openxmlformats.org/markup-compatibility/2006">
          <mc:Choice Requires="x14">
            <control shapeId="2099" r:id="rId26" name="Check Box 51">
              <controlPr defaultSize="0" autoFill="0" autoLine="0" autoPict="0">
                <anchor moveWithCells="1">
                  <from>
                    <xdr:col>13</xdr:col>
                    <xdr:colOff>1822450</xdr:colOff>
                    <xdr:row>15</xdr:row>
                    <xdr:rowOff>0</xdr:rowOff>
                  </from>
                  <to>
                    <xdr:col>15</xdr:col>
                    <xdr:colOff>0</xdr:colOff>
                    <xdr:row>16</xdr:row>
                    <xdr:rowOff>0</xdr:rowOff>
                  </to>
                </anchor>
              </controlPr>
            </control>
          </mc:Choice>
        </mc:AlternateContent>
        <mc:AlternateContent xmlns:mc="http://schemas.openxmlformats.org/markup-compatibility/2006">
          <mc:Choice Requires="x14">
            <control shapeId="2100" r:id="rId27" name="Check Box 52">
              <controlPr defaultSize="0" autoFill="0" autoLine="0" autoPict="0">
                <anchor moveWithCells="1">
                  <from>
                    <xdr:col>13</xdr:col>
                    <xdr:colOff>1822450</xdr:colOff>
                    <xdr:row>15</xdr:row>
                    <xdr:rowOff>190500</xdr:rowOff>
                  </from>
                  <to>
                    <xdr:col>15</xdr:col>
                    <xdr:colOff>0</xdr:colOff>
                    <xdr:row>17</xdr:row>
                    <xdr:rowOff>0</xdr:rowOff>
                  </to>
                </anchor>
              </controlPr>
            </control>
          </mc:Choice>
        </mc:AlternateContent>
        <mc:AlternateContent xmlns:mc="http://schemas.openxmlformats.org/markup-compatibility/2006">
          <mc:Choice Requires="x14">
            <control shapeId="2101" r:id="rId28" name="Check Box 53">
              <controlPr defaultSize="0" autoFill="0" autoLine="0" autoPict="0">
                <anchor moveWithCells="1">
                  <from>
                    <xdr:col>13</xdr:col>
                    <xdr:colOff>1822450</xdr:colOff>
                    <xdr:row>17</xdr:row>
                    <xdr:rowOff>0</xdr:rowOff>
                  </from>
                  <to>
                    <xdr:col>15</xdr:col>
                    <xdr:colOff>0</xdr:colOff>
                    <xdr:row>18</xdr:row>
                    <xdr:rowOff>0</xdr:rowOff>
                  </to>
                </anchor>
              </controlPr>
            </control>
          </mc:Choice>
        </mc:AlternateContent>
        <mc:AlternateContent xmlns:mc="http://schemas.openxmlformats.org/markup-compatibility/2006">
          <mc:Choice Requires="x14">
            <control shapeId="2102" r:id="rId29" name="Check Box 54">
              <controlPr defaultSize="0" autoFill="0" autoLine="0" autoPict="0">
                <anchor moveWithCells="1">
                  <from>
                    <xdr:col>13</xdr:col>
                    <xdr:colOff>1822450</xdr:colOff>
                    <xdr:row>18</xdr:row>
                    <xdr:rowOff>0</xdr:rowOff>
                  </from>
                  <to>
                    <xdr:col>15</xdr:col>
                    <xdr:colOff>0</xdr:colOff>
                    <xdr:row>19</xdr:row>
                    <xdr:rowOff>0</xdr:rowOff>
                  </to>
                </anchor>
              </controlPr>
            </control>
          </mc:Choice>
        </mc:AlternateContent>
        <mc:AlternateContent xmlns:mc="http://schemas.openxmlformats.org/markup-compatibility/2006">
          <mc:Choice Requires="x14">
            <control shapeId="2103" r:id="rId30" name="Check Box 55">
              <controlPr defaultSize="0" autoFill="0" autoLine="0" autoPict="0">
                <anchor moveWithCells="1">
                  <from>
                    <xdr:col>13</xdr:col>
                    <xdr:colOff>1822450</xdr:colOff>
                    <xdr:row>18</xdr:row>
                    <xdr:rowOff>190500</xdr:rowOff>
                  </from>
                  <to>
                    <xdr:col>15</xdr:col>
                    <xdr:colOff>0</xdr:colOff>
                    <xdr:row>20</xdr:row>
                    <xdr:rowOff>0</xdr:rowOff>
                  </to>
                </anchor>
              </controlPr>
            </control>
          </mc:Choice>
        </mc:AlternateContent>
        <mc:AlternateContent xmlns:mc="http://schemas.openxmlformats.org/markup-compatibility/2006">
          <mc:Choice Requires="x14">
            <control shapeId="2104" r:id="rId31" name="Check Box 56">
              <controlPr defaultSize="0" autoFill="0" autoLine="0" autoPict="0">
                <anchor moveWithCells="1">
                  <from>
                    <xdr:col>13</xdr:col>
                    <xdr:colOff>1822450</xdr:colOff>
                    <xdr:row>20</xdr:row>
                    <xdr:rowOff>0</xdr:rowOff>
                  </from>
                  <to>
                    <xdr:col>15</xdr:col>
                    <xdr:colOff>0</xdr:colOff>
                    <xdr:row>21</xdr:row>
                    <xdr:rowOff>0</xdr:rowOff>
                  </to>
                </anchor>
              </controlPr>
            </control>
          </mc:Choice>
        </mc:AlternateContent>
        <mc:AlternateContent xmlns:mc="http://schemas.openxmlformats.org/markup-compatibility/2006">
          <mc:Choice Requires="x14">
            <control shapeId="2105" r:id="rId32" name="Check Box 57">
              <controlPr defaultSize="0" autoFill="0" autoLine="0" autoPict="0">
                <anchor moveWithCells="1">
                  <from>
                    <xdr:col>13</xdr:col>
                    <xdr:colOff>1822450</xdr:colOff>
                    <xdr:row>21</xdr:row>
                    <xdr:rowOff>0</xdr:rowOff>
                  </from>
                  <to>
                    <xdr:col>15</xdr:col>
                    <xdr:colOff>0</xdr:colOff>
                    <xdr:row>22</xdr:row>
                    <xdr:rowOff>0</xdr:rowOff>
                  </to>
                </anchor>
              </controlPr>
            </control>
          </mc:Choice>
        </mc:AlternateContent>
        <mc:AlternateContent xmlns:mc="http://schemas.openxmlformats.org/markup-compatibility/2006">
          <mc:Choice Requires="x14">
            <control shapeId="2116" r:id="rId33" name="Check Box 68">
              <controlPr defaultSize="0" autoFill="0" autoLine="0" autoPict="0">
                <anchor moveWithCells="1">
                  <from>
                    <xdr:col>14</xdr:col>
                    <xdr:colOff>0</xdr:colOff>
                    <xdr:row>36</xdr:row>
                    <xdr:rowOff>0</xdr:rowOff>
                  </from>
                  <to>
                    <xdr:col>14</xdr:col>
                    <xdr:colOff>247650</xdr:colOff>
                    <xdr:row>37</xdr:row>
                    <xdr:rowOff>0</xdr:rowOff>
                  </to>
                </anchor>
              </controlPr>
            </control>
          </mc:Choice>
        </mc:AlternateContent>
        <mc:AlternateContent xmlns:mc="http://schemas.openxmlformats.org/markup-compatibility/2006">
          <mc:Choice Requires="x14">
            <control shapeId="2117" r:id="rId34" name="Check Box 69">
              <controlPr defaultSize="0" autoFill="0" autoLine="0" autoPict="0">
                <anchor moveWithCells="1">
                  <from>
                    <xdr:col>14</xdr:col>
                    <xdr:colOff>0</xdr:colOff>
                    <xdr:row>37</xdr:row>
                    <xdr:rowOff>0</xdr:rowOff>
                  </from>
                  <to>
                    <xdr:col>14</xdr:col>
                    <xdr:colOff>247650</xdr:colOff>
                    <xdr:row>38</xdr:row>
                    <xdr:rowOff>0</xdr:rowOff>
                  </to>
                </anchor>
              </controlPr>
            </control>
          </mc:Choice>
        </mc:AlternateContent>
        <mc:AlternateContent xmlns:mc="http://schemas.openxmlformats.org/markup-compatibility/2006">
          <mc:Choice Requires="x14">
            <control shapeId="2119" r:id="rId35" name="Check Box 71">
              <controlPr defaultSize="0" autoFill="0" autoLine="0" autoPict="0">
                <anchor moveWithCells="1">
                  <from>
                    <xdr:col>14</xdr:col>
                    <xdr:colOff>0</xdr:colOff>
                    <xdr:row>23</xdr:row>
                    <xdr:rowOff>0</xdr:rowOff>
                  </from>
                  <to>
                    <xdr:col>14</xdr:col>
                    <xdr:colOff>247650</xdr:colOff>
                    <xdr:row>24</xdr:row>
                    <xdr:rowOff>0</xdr:rowOff>
                  </to>
                </anchor>
              </controlPr>
            </control>
          </mc:Choice>
        </mc:AlternateContent>
        <mc:AlternateContent xmlns:mc="http://schemas.openxmlformats.org/markup-compatibility/2006">
          <mc:Choice Requires="x14">
            <control shapeId="2120" r:id="rId36" name="Check Box 72">
              <controlPr defaultSize="0" autoFill="0" autoLine="0" autoPict="0">
                <anchor moveWithCells="1">
                  <from>
                    <xdr:col>14</xdr:col>
                    <xdr:colOff>0</xdr:colOff>
                    <xdr:row>24</xdr:row>
                    <xdr:rowOff>6350</xdr:rowOff>
                  </from>
                  <to>
                    <xdr:col>14</xdr:col>
                    <xdr:colOff>247650</xdr:colOff>
                    <xdr:row>25</xdr:row>
                    <xdr:rowOff>0</xdr:rowOff>
                  </to>
                </anchor>
              </controlPr>
            </control>
          </mc:Choice>
        </mc:AlternateContent>
        <mc:AlternateContent xmlns:mc="http://schemas.openxmlformats.org/markup-compatibility/2006">
          <mc:Choice Requires="x14">
            <control shapeId="2121" r:id="rId37" name="Check Box 73">
              <controlPr defaultSize="0" autoFill="0" autoLine="0" autoPict="0">
                <anchor moveWithCells="1">
                  <from>
                    <xdr:col>14</xdr:col>
                    <xdr:colOff>0</xdr:colOff>
                    <xdr:row>24</xdr:row>
                    <xdr:rowOff>190500</xdr:rowOff>
                  </from>
                  <to>
                    <xdr:col>14</xdr:col>
                    <xdr:colOff>247650</xdr:colOff>
                    <xdr:row>26</xdr:row>
                    <xdr:rowOff>0</xdr:rowOff>
                  </to>
                </anchor>
              </controlPr>
            </control>
          </mc:Choice>
        </mc:AlternateContent>
        <mc:AlternateContent xmlns:mc="http://schemas.openxmlformats.org/markup-compatibility/2006">
          <mc:Choice Requires="x14">
            <control shapeId="2122" r:id="rId38" name="Check Box 74">
              <controlPr defaultSize="0" autoFill="0" autoLine="0" autoPict="0">
                <anchor moveWithCells="1">
                  <from>
                    <xdr:col>14</xdr:col>
                    <xdr:colOff>0</xdr:colOff>
                    <xdr:row>26</xdr:row>
                    <xdr:rowOff>0</xdr:rowOff>
                  </from>
                  <to>
                    <xdr:col>14</xdr:col>
                    <xdr:colOff>247650</xdr:colOff>
                    <xdr:row>27</xdr:row>
                    <xdr:rowOff>0</xdr:rowOff>
                  </to>
                </anchor>
              </controlPr>
            </control>
          </mc:Choice>
        </mc:AlternateContent>
        <mc:AlternateContent xmlns:mc="http://schemas.openxmlformats.org/markup-compatibility/2006">
          <mc:Choice Requires="x14">
            <control shapeId="2123" r:id="rId39" name="Check Box 75">
              <controlPr defaultSize="0" autoFill="0" autoLine="0" autoPict="0">
                <anchor moveWithCells="1">
                  <from>
                    <xdr:col>14</xdr:col>
                    <xdr:colOff>0</xdr:colOff>
                    <xdr:row>26</xdr:row>
                    <xdr:rowOff>190500</xdr:rowOff>
                  </from>
                  <to>
                    <xdr:col>14</xdr:col>
                    <xdr:colOff>247650</xdr:colOff>
                    <xdr:row>28</xdr:row>
                    <xdr:rowOff>0</xdr:rowOff>
                  </to>
                </anchor>
              </controlPr>
            </control>
          </mc:Choice>
        </mc:AlternateContent>
        <mc:AlternateContent xmlns:mc="http://schemas.openxmlformats.org/markup-compatibility/2006">
          <mc:Choice Requires="x14">
            <control shapeId="2124" r:id="rId40" name="Check Box 76">
              <controlPr defaultSize="0" autoFill="0" autoLine="0" autoPict="0">
                <anchor moveWithCells="1">
                  <from>
                    <xdr:col>14</xdr:col>
                    <xdr:colOff>0</xdr:colOff>
                    <xdr:row>28</xdr:row>
                    <xdr:rowOff>0</xdr:rowOff>
                  </from>
                  <to>
                    <xdr:col>14</xdr:col>
                    <xdr:colOff>247650</xdr:colOff>
                    <xdr:row>29</xdr:row>
                    <xdr:rowOff>0</xdr:rowOff>
                  </to>
                </anchor>
              </controlPr>
            </control>
          </mc:Choice>
        </mc:AlternateContent>
        <mc:AlternateContent xmlns:mc="http://schemas.openxmlformats.org/markup-compatibility/2006">
          <mc:Choice Requires="x14">
            <control shapeId="2125" r:id="rId41" name="Check Box 77">
              <controlPr defaultSize="0" autoFill="0" autoLine="0" autoPict="0">
                <anchor moveWithCells="1">
                  <from>
                    <xdr:col>14</xdr:col>
                    <xdr:colOff>0</xdr:colOff>
                    <xdr:row>29</xdr:row>
                    <xdr:rowOff>0</xdr:rowOff>
                  </from>
                  <to>
                    <xdr:col>14</xdr:col>
                    <xdr:colOff>247650</xdr:colOff>
                    <xdr:row>30</xdr:row>
                    <xdr:rowOff>0</xdr:rowOff>
                  </to>
                </anchor>
              </controlPr>
            </control>
          </mc:Choice>
        </mc:AlternateContent>
        <mc:AlternateContent xmlns:mc="http://schemas.openxmlformats.org/markup-compatibility/2006">
          <mc:Choice Requires="x14">
            <control shapeId="2126" r:id="rId42" name="Check Box 78">
              <controlPr defaultSize="0" autoFill="0" autoLine="0" autoPict="0">
                <anchor moveWithCells="1">
                  <from>
                    <xdr:col>14</xdr:col>
                    <xdr:colOff>0</xdr:colOff>
                    <xdr:row>29</xdr:row>
                    <xdr:rowOff>190500</xdr:rowOff>
                  </from>
                  <to>
                    <xdr:col>14</xdr:col>
                    <xdr:colOff>247650</xdr:colOff>
                    <xdr:row>31</xdr:row>
                    <xdr:rowOff>0</xdr:rowOff>
                  </to>
                </anchor>
              </controlPr>
            </control>
          </mc:Choice>
        </mc:AlternateContent>
        <mc:AlternateContent xmlns:mc="http://schemas.openxmlformats.org/markup-compatibility/2006">
          <mc:Choice Requires="x14">
            <control shapeId="2127" r:id="rId43" name="Check Box 79">
              <controlPr defaultSize="0" autoFill="0" autoLine="0" autoPict="0">
                <anchor moveWithCells="1">
                  <from>
                    <xdr:col>14</xdr:col>
                    <xdr:colOff>0</xdr:colOff>
                    <xdr:row>30</xdr:row>
                    <xdr:rowOff>190500</xdr:rowOff>
                  </from>
                  <to>
                    <xdr:col>14</xdr:col>
                    <xdr:colOff>247650</xdr:colOff>
                    <xdr:row>32</xdr:row>
                    <xdr:rowOff>0</xdr:rowOff>
                  </to>
                </anchor>
              </controlPr>
            </control>
          </mc:Choice>
        </mc:AlternateContent>
        <mc:AlternateContent xmlns:mc="http://schemas.openxmlformats.org/markup-compatibility/2006">
          <mc:Choice Requires="x14">
            <control shapeId="2128" r:id="rId44" name="Check Box 80">
              <controlPr defaultSize="0" autoFill="0" autoLine="0" autoPict="0">
                <anchor moveWithCells="1">
                  <from>
                    <xdr:col>14</xdr:col>
                    <xdr:colOff>0</xdr:colOff>
                    <xdr:row>32</xdr:row>
                    <xdr:rowOff>0</xdr:rowOff>
                  </from>
                  <to>
                    <xdr:col>14</xdr:col>
                    <xdr:colOff>247650</xdr:colOff>
                    <xdr:row>33</xdr:row>
                    <xdr:rowOff>0</xdr:rowOff>
                  </to>
                </anchor>
              </controlPr>
            </control>
          </mc:Choice>
        </mc:AlternateContent>
        <mc:AlternateContent xmlns:mc="http://schemas.openxmlformats.org/markup-compatibility/2006">
          <mc:Choice Requires="x14">
            <control shapeId="2129" r:id="rId45" name="Check Box 81">
              <controlPr defaultSize="0" autoFill="0" autoLine="0" autoPict="0">
                <anchor moveWithCells="1">
                  <from>
                    <xdr:col>14</xdr:col>
                    <xdr:colOff>0</xdr:colOff>
                    <xdr:row>33</xdr:row>
                    <xdr:rowOff>0</xdr:rowOff>
                  </from>
                  <to>
                    <xdr:col>14</xdr:col>
                    <xdr:colOff>247650</xdr:colOff>
                    <xdr:row>34</xdr:row>
                    <xdr:rowOff>0</xdr:rowOff>
                  </to>
                </anchor>
              </controlPr>
            </control>
          </mc:Choice>
        </mc:AlternateContent>
        <mc:AlternateContent xmlns:mc="http://schemas.openxmlformats.org/markup-compatibility/2006">
          <mc:Choice Requires="x14">
            <control shapeId="2130" r:id="rId46" name="Check Box 82">
              <controlPr defaultSize="0" autoFill="0" autoLine="0" autoPict="0">
                <anchor moveWithCells="1">
                  <from>
                    <xdr:col>14</xdr:col>
                    <xdr:colOff>0</xdr:colOff>
                    <xdr:row>34</xdr:row>
                    <xdr:rowOff>0</xdr:rowOff>
                  </from>
                  <to>
                    <xdr:col>14</xdr:col>
                    <xdr:colOff>247650</xdr:colOff>
                    <xdr:row>35</xdr:row>
                    <xdr:rowOff>0</xdr:rowOff>
                  </to>
                </anchor>
              </controlPr>
            </control>
          </mc:Choice>
        </mc:AlternateContent>
        <mc:AlternateContent xmlns:mc="http://schemas.openxmlformats.org/markup-compatibility/2006">
          <mc:Choice Requires="x14">
            <control shapeId="2136" r:id="rId47" name="Button 88">
              <controlPr defaultSize="0" print="0" autoFill="0" autoPict="0" macro="[0]!calculateButtonSandwich">
                <anchor moveWithCells="1">
                  <from>
                    <xdr:col>30</xdr:col>
                    <xdr:colOff>254000</xdr:colOff>
                    <xdr:row>3</xdr:row>
                    <xdr:rowOff>0</xdr:rowOff>
                  </from>
                  <to>
                    <xdr:col>31</xdr:col>
                    <xdr:colOff>0</xdr:colOff>
                    <xdr:row>5</xdr:row>
                    <xdr:rowOff>0</xdr:rowOff>
                  </to>
                </anchor>
              </controlPr>
            </control>
          </mc:Choice>
        </mc:AlternateContent>
        <mc:AlternateContent xmlns:mc="http://schemas.openxmlformats.org/markup-compatibility/2006">
          <mc:Choice Requires="x14">
            <control shapeId="2138" r:id="rId48" name="Button 90">
              <controlPr defaultSize="0" print="0" autoFill="0" autoPict="0" macro="[0]!clearSelectionButtonSandwich">
                <anchor moveWithCells="1">
                  <from>
                    <xdr:col>19</xdr:col>
                    <xdr:colOff>0</xdr:colOff>
                    <xdr:row>3</xdr:row>
                    <xdr:rowOff>0</xdr:rowOff>
                  </from>
                  <to>
                    <xdr:col>20</xdr:col>
                    <xdr:colOff>0</xdr:colOff>
                    <xdr:row>5</xdr:row>
                    <xdr:rowOff>0</xdr:rowOff>
                  </to>
                </anchor>
              </controlPr>
            </control>
          </mc:Choice>
        </mc:AlternateContent>
        <mc:AlternateContent xmlns:mc="http://schemas.openxmlformats.org/markup-compatibility/2006">
          <mc:Choice Requires="x14">
            <control shapeId="2169" r:id="rId49" name="Check Box 121">
              <controlPr defaultSize="0" autoFill="0" autoLine="0" autoPict="0">
                <anchor moveWithCells="1">
                  <from>
                    <xdr:col>5</xdr:col>
                    <xdr:colOff>0</xdr:colOff>
                    <xdr:row>26</xdr:row>
                    <xdr:rowOff>0</xdr:rowOff>
                  </from>
                  <to>
                    <xdr:col>5</xdr:col>
                    <xdr:colOff>247650</xdr:colOff>
                    <xdr:row>27</xdr:row>
                    <xdr:rowOff>0</xdr:rowOff>
                  </to>
                </anchor>
              </controlPr>
            </control>
          </mc:Choice>
        </mc:AlternateContent>
        <mc:AlternateContent xmlns:mc="http://schemas.openxmlformats.org/markup-compatibility/2006">
          <mc:Choice Requires="x14">
            <control shapeId="2170" r:id="rId50" name="Check Box 122">
              <controlPr defaultSize="0" autoFill="0" autoLine="0" autoPict="0">
                <anchor moveWithCells="1">
                  <from>
                    <xdr:col>5</xdr:col>
                    <xdr:colOff>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2171" r:id="rId51" name="Check Box 123">
              <controlPr defaultSize="0" autoFill="0" autoLine="0" autoPict="0">
                <anchor moveWithCells="1">
                  <from>
                    <xdr:col>5</xdr:col>
                    <xdr:colOff>0</xdr:colOff>
                    <xdr:row>28</xdr:row>
                    <xdr:rowOff>0</xdr:rowOff>
                  </from>
                  <to>
                    <xdr:col>6</xdr:col>
                    <xdr:colOff>0</xdr:colOff>
                    <xdr:row>29</xdr:row>
                    <xdr:rowOff>0</xdr:rowOff>
                  </to>
                </anchor>
              </controlPr>
            </control>
          </mc:Choice>
        </mc:AlternateContent>
        <mc:AlternateContent xmlns:mc="http://schemas.openxmlformats.org/markup-compatibility/2006">
          <mc:Choice Requires="x14">
            <control shapeId="2173" r:id="rId52" name="Check Box 125">
              <controlPr defaultSize="0" autoFill="0" autoLine="0" autoPict="0">
                <anchor moveWithCells="1">
                  <from>
                    <xdr:col>5</xdr:col>
                    <xdr:colOff>0</xdr:colOff>
                    <xdr:row>11</xdr:row>
                    <xdr:rowOff>0</xdr:rowOff>
                  </from>
                  <to>
                    <xdr:col>5</xdr:col>
                    <xdr:colOff>247650</xdr:colOff>
                    <xdr:row>12</xdr:row>
                    <xdr:rowOff>0</xdr:rowOff>
                  </to>
                </anchor>
              </controlPr>
            </control>
          </mc:Choice>
        </mc:AlternateContent>
        <mc:AlternateContent xmlns:mc="http://schemas.openxmlformats.org/markup-compatibility/2006">
          <mc:Choice Requires="x14">
            <control shapeId="2174" r:id="rId53" name="Check Box 126">
              <controlPr defaultSize="0" autoFill="0" autoLine="0" autoPict="0">
                <anchor moveWithCells="1">
                  <from>
                    <xdr:col>5</xdr:col>
                    <xdr:colOff>0</xdr:colOff>
                    <xdr:row>10</xdr:row>
                    <xdr:rowOff>0</xdr:rowOff>
                  </from>
                  <to>
                    <xdr:col>5</xdr:col>
                    <xdr:colOff>247650</xdr:colOff>
                    <xdr:row>11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16B57CF5-B786-4CE7-B380-FCF73CEEC3C4}">
          <x14:formula1>
            <xm:f>'Sandwich Items'!$A$2:$D$2</xm:f>
          </x14:formula1>
          <xm:sqref>E5</xm:sqref>
        </x14:dataValidation>
        <x14:dataValidation type="list" allowBlank="1" showInputMessage="1" showErrorMessage="1" xr:uid="{9E7FD986-6346-4AF6-BD0D-693679337939}">
          <x14:formula1>
            <xm:f>IF($E$5='Sandwich Items'!$A$2, 'Sandwich Items'!$A$3:$A$7, IF($E$5='Sandwich Items'!$B$2, 'Sandwich Items'!$B$3:$B$7, IF($E$5='Sandwich Items'!$C$2, 'Sandwich Items'!$C$3:$C$4, IF($E$5='Sandwich Items'!$D$2, 'Sandwich Items'!$D$3:$D$4))))</xm:f>
          </x14:formula1>
          <xm:sqref>E7</xm:sqref>
        </x14:dataValidation>
        <x14:dataValidation type="list" allowBlank="1" showInputMessage="1" showErrorMessage="1" xr:uid="{525D2DC1-C3CA-41CF-B6E5-11104EB50769}">
          <x14:formula1>
            <xm:f>'Sandwich Items'!$A$11:$A$35</xm:f>
          </x14:formula1>
          <xm:sqref>E9:H9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11268-6255-4B20-8694-37B8846795F4}">
  <sheetPr codeName="Sheet17">
    <pageSetUpPr autoPageBreaks="0"/>
  </sheetPr>
  <dimension ref="A1:AL35"/>
  <sheetViews>
    <sheetView showGridLines="0" topLeftCell="O1" zoomScale="120" zoomScaleNormal="120" zoomScaleSheetLayoutView="40" workbookViewId="0">
      <selection activeCell="V5" sqref="V5"/>
    </sheetView>
  </sheetViews>
  <sheetFormatPr defaultColWidth="10.69921875" defaultRowHeight="15" customHeight="1" x14ac:dyDescent="0.3"/>
  <cols>
    <col min="1" max="1" width="3" style="58" customWidth="1"/>
    <col min="2" max="2" width="12" style="58" customWidth="1"/>
    <col min="3" max="3" width="1.5" style="58" customWidth="1"/>
    <col min="4" max="4" width="3" style="58" customWidth="1"/>
    <col min="5" max="5" width="37.8984375" style="58" bestFit="1" customWidth="1"/>
    <col min="6" max="6" width="4" style="58" customWidth="1"/>
    <col min="7" max="7" width="11.09765625" style="58" bestFit="1" customWidth="1"/>
    <col min="8" max="8" width="1.5" style="58" customWidth="1"/>
    <col min="9" max="9" width="23.19921875" style="58" bestFit="1" customWidth="1"/>
    <col min="10" max="11" width="3" style="58" customWidth="1"/>
    <col min="12" max="12" width="12" style="58" customWidth="1"/>
    <col min="13" max="13" width="1.5" style="58" customWidth="1"/>
    <col min="14" max="14" width="3.296875" style="58" customWidth="1"/>
    <col min="15" max="15" width="26.09765625" style="58" bestFit="1" customWidth="1"/>
    <col min="16" max="16" width="4" style="58" customWidth="1"/>
    <col min="17" max="17" width="11.09765625" style="58" bestFit="1" customWidth="1"/>
    <col min="18" max="18" width="1.5" style="58" customWidth="1"/>
    <col min="19" max="19" width="23.3984375" style="58" bestFit="1" customWidth="1"/>
    <col min="20" max="21" width="3" style="58" customWidth="1"/>
    <col min="22" max="22" width="6" style="58" customWidth="1"/>
    <col min="23" max="23" width="3" style="58" customWidth="1"/>
    <col min="24" max="24" width="43.296875" style="58" bestFit="1" customWidth="1"/>
    <col min="25" max="25" width="2" style="58" customWidth="1"/>
    <col min="26" max="26" width="14.69921875" style="58" bestFit="1" customWidth="1"/>
    <col min="27" max="27" width="4" style="58" customWidth="1"/>
    <col min="28" max="28" width="20" style="58" customWidth="1"/>
    <col min="29" max="29" width="2.09765625" style="58" customWidth="1"/>
    <col min="30" max="30" width="20" style="58" customWidth="1"/>
    <col min="31" max="31" width="3" style="58" customWidth="1"/>
    <col min="32" max="32" width="22.59765625" style="58" bestFit="1" customWidth="1"/>
    <col min="33" max="33" width="54.09765625" style="58" bestFit="1" customWidth="1"/>
    <col min="34" max="34" width="147.8984375" style="58" bestFit="1" customWidth="1"/>
    <col min="35" max="35" width="2.8984375" style="58" customWidth="1"/>
    <col min="36" max="36" width="22.59765625" style="58" customWidth="1"/>
    <col min="37" max="37" width="17.796875" style="58" customWidth="1"/>
    <col min="38" max="16384" width="10.69921875" style="58"/>
  </cols>
  <sheetData>
    <row r="1" spans="1:38" ht="15" customHeight="1" x14ac:dyDescent="0.3">
      <c r="A1" s="314" t="s">
        <v>302</v>
      </c>
      <c r="B1" s="314"/>
      <c r="C1" s="314"/>
      <c r="D1" s="314"/>
      <c r="E1" s="314"/>
      <c r="F1" s="314"/>
      <c r="G1" s="314"/>
      <c r="H1" s="314"/>
      <c r="I1" s="314"/>
      <c r="J1" s="314"/>
      <c r="K1" s="314"/>
      <c r="L1" s="314"/>
      <c r="M1" s="314"/>
      <c r="N1" s="314"/>
      <c r="O1" s="314"/>
      <c r="P1" s="314"/>
      <c r="Q1" s="314"/>
      <c r="R1" s="314"/>
      <c r="S1" s="314"/>
      <c r="T1" s="314"/>
      <c r="U1" s="314"/>
      <c r="W1" s="61"/>
      <c r="X1" s="310" t="s">
        <v>316</v>
      </c>
      <c r="Y1" s="310"/>
      <c r="Z1" s="310"/>
      <c r="AA1" s="310"/>
      <c r="AB1" s="310"/>
      <c r="AC1" s="310"/>
      <c r="AD1" s="310"/>
      <c r="AE1" s="252"/>
      <c r="AF1" s="92"/>
      <c r="AG1" s="92"/>
      <c r="AH1" s="92"/>
      <c r="AI1" s="92"/>
      <c r="AJ1" s="92"/>
      <c r="AK1" s="92"/>
      <c r="AL1" s="92"/>
    </row>
    <row r="2" spans="1:38" ht="15" customHeight="1" x14ac:dyDescent="0.3">
      <c r="A2" s="314"/>
      <c r="B2" s="314"/>
      <c r="C2" s="314"/>
      <c r="D2" s="314"/>
      <c r="E2" s="314"/>
      <c r="F2" s="314"/>
      <c r="G2" s="314"/>
      <c r="H2" s="314"/>
      <c r="I2" s="314"/>
      <c r="J2" s="314"/>
      <c r="K2" s="314"/>
      <c r="L2" s="314"/>
      <c r="M2" s="314"/>
      <c r="N2" s="314"/>
      <c r="O2" s="314"/>
      <c r="P2" s="314"/>
      <c r="Q2" s="314"/>
      <c r="R2" s="314"/>
      <c r="S2" s="314"/>
      <c r="T2" s="314"/>
      <c r="U2" s="314"/>
      <c r="W2" s="252"/>
      <c r="X2" s="310"/>
      <c r="Y2" s="310"/>
      <c r="Z2" s="310"/>
      <c r="AA2" s="310"/>
      <c r="AB2" s="310"/>
      <c r="AC2" s="310"/>
      <c r="AD2" s="310"/>
      <c r="AE2" s="252"/>
      <c r="AF2" s="92"/>
      <c r="AG2" s="92"/>
      <c r="AH2" s="92"/>
      <c r="AI2" s="92"/>
      <c r="AJ2" s="92"/>
      <c r="AK2" s="92"/>
      <c r="AL2" s="92"/>
    </row>
    <row r="3" spans="1:38" ht="15" customHeight="1" x14ac:dyDescent="0.3">
      <c r="A3" s="314"/>
      <c r="B3" s="314"/>
      <c r="C3" s="314"/>
      <c r="D3" s="314"/>
      <c r="E3" s="314"/>
      <c r="F3" s="314"/>
      <c r="G3" s="314"/>
      <c r="H3" s="314"/>
      <c r="I3" s="314"/>
      <c r="J3" s="314"/>
      <c r="K3" s="314"/>
      <c r="L3" s="314"/>
      <c r="M3" s="314"/>
      <c r="N3" s="314"/>
      <c r="O3" s="314"/>
      <c r="P3" s="314"/>
      <c r="Q3" s="314"/>
      <c r="R3" s="314"/>
      <c r="S3" s="314"/>
      <c r="T3" s="314"/>
      <c r="U3" s="314"/>
      <c r="W3" s="252"/>
      <c r="X3" s="310"/>
      <c r="Y3" s="310"/>
      <c r="Z3" s="310"/>
      <c r="AA3" s="310"/>
      <c r="AB3" s="310"/>
      <c r="AC3" s="310"/>
      <c r="AD3" s="310"/>
      <c r="AE3" s="252"/>
      <c r="AF3" s="92"/>
      <c r="AG3" s="92"/>
      <c r="AH3" s="92"/>
      <c r="AI3" s="92"/>
      <c r="AJ3" s="92"/>
      <c r="AK3" s="92"/>
      <c r="AL3" s="92"/>
    </row>
    <row r="4" spans="1:38" ht="15" customHeight="1" x14ac:dyDescent="0.3">
      <c r="A4" s="99"/>
      <c r="B4" s="74"/>
      <c r="C4" s="74"/>
      <c r="D4" s="75"/>
      <c r="E4" s="73"/>
      <c r="F4" s="100"/>
      <c r="G4" s="100"/>
      <c r="H4" s="100"/>
      <c r="I4" s="100"/>
      <c r="J4" s="100"/>
      <c r="K4" s="62"/>
      <c r="L4" s="74"/>
      <c r="M4" s="74"/>
      <c r="N4" s="73"/>
      <c r="O4" s="100"/>
      <c r="P4" s="73"/>
      <c r="Q4" s="100"/>
      <c r="R4" s="100"/>
      <c r="S4" s="100"/>
      <c r="T4" s="100"/>
      <c r="U4" s="62"/>
      <c r="W4" s="252"/>
      <c r="X4" s="252"/>
      <c r="Y4" s="252"/>
      <c r="Z4" s="252"/>
      <c r="AA4" s="252"/>
      <c r="AB4" s="252"/>
      <c r="AC4" s="252"/>
      <c r="AD4" s="252"/>
      <c r="AE4" s="252"/>
      <c r="AF4" s="92"/>
      <c r="AG4" s="92"/>
      <c r="AH4" s="92"/>
      <c r="AI4" s="92"/>
      <c r="AJ4" s="92"/>
      <c r="AK4" s="92"/>
      <c r="AL4" s="92"/>
    </row>
    <row r="5" spans="1:38" ht="15" customHeight="1" thickBot="1" x14ac:dyDescent="0.35">
      <c r="A5" s="62"/>
      <c r="B5" s="97"/>
      <c r="C5" s="97"/>
      <c r="D5" s="66"/>
      <c r="E5" s="66"/>
      <c r="F5" s="66"/>
      <c r="G5" s="81" t="s">
        <v>272</v>
      </c>
      <c r="H5" s="81"/>
      <c r="I5" s="66"/>
      <c r="J5" s="66"/>
      <c r="K5" s="62"/>
      <c r="L5" s="97"/>
      <c r="M5" s="97"/>
      <c r="N5" s="66"/>
      <c r="O5" s="66"/>
      <c r="P5" s="66"/>
      <c r="Q5" s="81" t="s">
        <v>272</v>
      </c>
      <c r="R5" s="66"/>
      <c r="S5" s="66"/>
      <c r="T5" s="66"/>
      <c r="U5" s="62"/>
      <c r="W5" s="61"/>
      <c r="X5" s="61"/>
      <c r="Y5" s="61"/>
      <c r="Z5" s="61"/>
      <c r="AA5" s="61"/>
      <c r="AB5" s="61"/>
      <c r="AC5" s="61"/>
      <c r="AD5" s="61"/>
      <c r="AE5" s="61"/>
      <c r="AF5" s="92"/>
      <c r="AG5" s="92"/>
      <c r="AH5" s="92"/>
      <c r="AI5" s="92"/>
      <c r="AJ5" s="92"/>
      <c r="AK5" s="92"/>
      <c r="AL5" s="92"/>
    </row>
    <row r="6" spans="1:38" ht="15" customHeight="1" x14ac:dyDescent="0.3">
      <c r="A6" s="62"/>
      <c r="B6" s="69" t="s">
        <v>306</v>
      </c>
      <c r="C6" s="67"/>
      <c r="D6" s="75"/>
      <c r="E6" s="241" t="s">
        <v>133</v>
      </c>
      <c r="F6" s="242"/>
      <c r="G6" s="243"/>
      <c r="H6" s="73"/>
      <c r="I6" s="82" t="str">
        <f>IF(AND(Selections!L6=TRUE, ISBLANK(G6)), "Please enter serving count", "")</f>
        <v/>
      </c>
      <c r="J6" s="73"/>
      <c r="K6" s="62"/>
      <c r="L6" s="69" t="s">
        <v>308</v>
      </c>
      <c r="M6" s="74"/>
      <c r="N6" s="73"/>
      <c r="O6" s="130" t="s">
        <v>347</v>
      </c>
      <c r="P6" s="146"/>
      <c r="Q6" s="141"/>
      <c r="R6" s="73"/>
      <c r="S6" s="82" t="str">
        <f>IF(AND(Selections!L13=TRUE, ISBLANK(Q6)), "Please enter serving count", "")</f>
        <v/>
      </c>
      <c r="T6" s="73"/>
      <c r="U6" s="62"/>
      <c r="W6" s="61"/>
      <c r="X6" s="61"/>
      <c r="Y6" s="61"/>
      <c r="Z6" s="61"/>
      <c r="AA6" s="61"/>
      <c r="AB6" s="61"/>
      <c r="AC6" s="61"/>
      <c r="AD6" s="61"/>
      <c r="AE6" s="61"/>
      <c r="AF6" s="92"/>
      <c r="AG6" s="92"/>
      <c r="AH6" s="92"/>
      <c r="AI6" s="92"/>
      <c r="AJ6" s="92"/>
      <c r="AK6" s="92"/>
      <c r="AL6" s="92"/>
    </row>
    <row r="7" spans="1:38" ht="15" customHeight="1" x14ac:dyDescent="0.3">
      <c r="A7" s="62"/>
      <c r="B7" s="67"/>
      <c r="C7" s="67"/>
      <c r="D7" s="75"/>
      <c r="E7" s="244" t="s">
        <v>303</v>
      </c>
      <c r="F7" s="134"/>
      <c r="G7" s="245"/>
      <c r="H7" s="73"/>
      <c r="I7" s="82" t="str">
        <f>IF(AND(Selections!L7=TRUE, ISBLANK(G7)), "Please enter serving count", "")</f>
        <v/>
      </c>
      <c r="J7" s="73"/>
      <c r="K7" s="62"/>
      <c r="L7" s="67"/>
      <c r="M7" s="74"/>
      <c r="N7" s="73"/>
      <c r="O7" s="127" t="s">
        <v>348</v>
      </c>
      <c r="P7" s="135"/>
      <c r="Q7" s="147"/>
      <c r="R7" s="73"/>
      <c r="S7" s="82" t="str">
        <f>IF(AND(Selections!L14=TRUE, ISBLANK(Q7)), "Please enter serving count", "")</f>
        <v/>
      </c>
      <c r="T7" s="73"/>
      <c r="U7" s="62"/>
      <c r="W7" s="61"/>
      <c r="X7" s="76" t="s">
        <v>309</v>
      </c>
      <c r="Y7" s="77"/>
      <c r="Z7" s="85" t="s">
        <v>274</v>
      </c>
      <c r="AA7" s="61"/>
      <c r="AB7" s="112" t="s">
        <v>275</v>
      </c>
      <c r="AC7" s="112"/>
      <c r="AD7" s="112"/>
      <c r="AE7" s="61"/>
      <c r="AF7" s="92"/>
      <c r="AG7" s="92"/>
      <c r="AH7" s="92"/>
      <c r="AI7" s="92"/>
      <c r="AJ7" s="92"/>
      <c r="AK7" s="92"/>
      <c r="AL7" s="92"/>
    </row>
    <row r="8" spans="1:38" ht="15" customHeight="1" x14ac:dyDescent="0.3">
      <c r="A8" s="62"/>
      <c r="B8" s="97"/>
      <c r="C8" s="97"/>
      <c r="D8" s="73"/>
      <c r="E8" s="246" t="s">
        <v>134</v>
      </c>
      <c r="F8" s="131"/>
      <c r="G8" s="245"/>
      <c r="H8" s="73"/>
      <c r="I8" s="82" t="str">
        <f>IF(AND(Selections!L8=TRUE, ISBLANK(G8)), "Please enter serving count", "")</f>
        <v/>
      </c>
      <c r="J8" s="73"/>
      <c r="K8" s="62"/>
      <c r="L8" s="97"/>
      <c r="M8" s="101"/>
      <c r="N8" s="73"/>
      <c r="O8" s="127" t="s">
        <v>349</v>
      </c>
      <c r="P8" s="129"/>
      <c r="Q8" s="142"/>
      <c r="R8" s="73"/>
      <c r="S8" s="82" t="str">
        <f>IF(AND(Selections!L15=TRUE, ISBLANK(Q8)), "Please enter serving count", "")</f>
        <v/>
      </c>
      <c r="T8" s="73"/>
      <c r="U8" s="62"/>
      <c r="W8" s="61"/>
      <c r="X8" s="86" t="str" cm="1">
        <f t="array" ref="X8">IFERROR(_xlfn._xlws.FILTER(DanishSel[Danishes selected], TRUE=DanishSel[TRUE / FALSE]), "")</f>
        <v>Apple &amp; Custard Danish</v>
      </c>
      <c r="Y8" s="86"/>
      <c r="Z8" s="80" cm="1">
        <f t="array" aca="1" ref="Z8" ca="1">IF(LEN(X8)&gt;0, IF(getServingCountSide(X8)&gt;0, getServingCountSide(X8), 0), "")</f>
        <v>2</v>
      </c>
      <c r="AA8" s="108"/>
      <c r="AB8" s="103" t="s">
        <v>227</v>
      </c>
      <c r="AC8" s="103"/>
      <c r="AD8" s="104">
        <v>3</v>
      </c>
      <c r="AE8" s="61"/>
      <c r="AF8" s="92"/>
      <c r="AG8" s="92"/>
      <c r="AH8" s="92"/>
      <c r="AI8" s="92"/>
      <c r="AJ8" s="92"/>
      <c r="AK8" s="92"/>
      <c r="AL8" s="92"/>
    </row>
    <row r="9" spans="1:38" ht="15" customHeight="1" x14ac:dyDescent="0.3">
      <c r="A9" s="62"/>
      <c r="B9" s="97"/>
      <c r="C9" s="97"/>
      <c r="D9" s="73"/>
      <c r="E9" s="247" t="s">
        <v>135</v>
      </c>
      <c r="F9" s="132"/>
      <c r="G9" s="248"/>
      <c r="H9" s="73"/>
      <c r="I9" s="82" t="str">
        <f>IF(AND(Selections!L9=TRUE, ISBLANK(G9)), "Please enter serving count", "")</f>
        <v/>
      </c>
      <c r="J9" s="73"/>
      <c r="K9" s="62"/>
      <c r="L9" s="97"/>
      <c r="M9" s="101"/>
      <c r="N9" s="73"/>
      <c r="O9" s="127" t="s">
        <v>350</v>
      </c>
      <c r="P9" s="129"/>
      <c r="Q9" s="142"/>
      <c r="R9" s="73"/>
      <c r="S9" s="82" t="str">
        <f>IF(AND(Selections!L16=TRUE, ISBLANK(Q9)), "Please enter serving count", "")</f>
        <v/>
      </c>
      <c r="T9" s="73"/>
      <c r="U9" s="62"/>
      <c r="W9" s="61"/>
      <c r="X9" s="86"/>
      <c r="Y9" s="86"/>
      <c r="Z9" s="80" t="str" cm="1">
        <f t="array" ref="Z9">IF(LEN(X9)&gt;0, IF(getServingCountSide(X9)&gt;0, getServingCountSide(X9), 0), "")</f>
        <v/>
      </c>
      <c r="AA9" s="108"/>
      <c r="AB9" s="105" t="s">
        <v>140</v>
      </c>
      <c r="AC9" s="105"/>
      <c r="AD9" s="104">
        <v>350</v>
      </c>
      <c r="AE9" s="61"/>
      <c r="AF9" s="92"/>
      <c r="AG9" s="92"/>
      <c r="AH9" s="92"/>
      <c r="AI9" s="92"/>
      <c r="AJ9" s="92"/>
      <c r="AK9" s="92"/>
      <c r="AL9" s="92"/>
    </row>
    <row r="10" spans="1:38" ht="15" customHeight="1" thickBot="1" x14ac:dyDescent="0.35">
      <c r="A10" s="62"/>
      <c r="B10" s="97"/>
      <c r="C10" s="97"/>
      <c r="D10" s="73"/>
      <c r="E10" s="249" t="s">
        <v>136</v>
      </c>
      <c r="F10" s="250"/>
      <c r="G10" s="251"/>
      <c r="H10" s="73"/>
      <c r="I10" s="82" t="str">
        <f>IF(AND(Selections!L10=TRUE, ISBLANK(G10)), "Please enter serving count", "")</f>
        <v/>
      </c>
      <c r="J10" s="73"/>
      <c r="K10" s="62"/>
      <c r="L10" s="97"/>
      <c r="M10" s="101"/>
      <c r="N10" s="73"/>
      <c r="O10" s="127" t="s">
        <v>351</v>
      </c>
      <c r="P10" s="129"/>
      <c r="Q10" s="142"/>
      <c r="R10" s="73"/>
      <c r="S10" s="82" t="str">
        <f>IF(AND(Selections!L17=TRUE, ISBLANK(Q10)), "Please enter serving count", "")</f>
        <v/>
      </c>
      <c r="T10" s="73"/>
      <c r="U10" s="62"/>
      <c r="W10" s="61"/>
      <c r="X10" s="86"/>
      <c r="Y10" s="86"/>
      <c r="Z10" s="80" t="str" cm="1">
        <f t="array" ref="Z10">IF(LEN(X10)&gt;0, IF(getServingCountSide(X10)&gt;0, getServingCountSide(X10), 0), "")</f>
        <v/>
      </c>
      <c r="AA10" s="108"/>
      <c r="AB10" s="105" t="s">
        <v>141</v>
      </c>
      <c r="AC10" s="105"/>
      <c r="AD10" s="104">
        <v>3210</v>
      </c>
      <c r="AE10" s="61"/>
      <c r="AF10" s="92"/>
      <c r="AG10" s="92"/>
      <c r="AH10" s="92"/>
      <c r="AI10" s="92"/>
      <c r="AJ10" s="92"/>
      <c r="AK10" s="92"/>
      <c r="AL10" s="92"/>
    </row>
    <row r="11" spans="1:38" ht="15" customHeight="1" thickBot="1" x14ac:dyDescent="0.35">
      <c r="A11" s="62"/>
      <c r="B11" s="101"/>
      <c r="C11" s="101"/>
      <c r="D11" s="73"/>
      <c r="E11" s="75"/>
      <c r="F11" s="82"/>
      <c r="G11" s="82"/>
      <c r="H11" s="82"/>
      <c r="I11" s="82"/>
      <c r="J11" s="73"/>
      <c r="K11" s="62"/>
      <c r="L11" s="101"/>
      <c r="M11" s="101"/>
      <c r="N11" s="73"/>
      <c r="O11" s="125" t="s">
        <v>352</v>
      </c>
      <c r="P11" s="148"/>
      <c r="Q11" s="149"/>
      <c r="R11" s="73"/>
      <c r="S11" s="82" t="str">
        <f>IF(AND(Selections!L18=TRUE, ISBLANK(Q11)), "Please enter serving count", "")</f>
        <v/>
      </c>
      <c r="T11" s="73"/>
      <c r="U11" s="62"/>
      <c r="W11" s="61"/>
      <c r="X11" s="76" t="s">
        <v>151</v>
      </c>
      <c r="Y11" s="76"/>
      <c r="Z11" s="85" t="s">
        <v>274</v>
      </c>
      <c r="AA11" s="108"/>
      <c r="AB11" s="105" t="s">
        <v>142</v>
      </c>
      <c r="AC11" s="105"/>
      <c r="AD11" s="104">
        <v>764.4</v>
      </c>
      <c r="AE11" s="61"/>
      <c r="AF11" s="92"/>
      <c r="AG11" s="92"/>
      <c r="AH11" s="92"/>
      <c r="AI11" s="92"/>
      <c r="AJ11" s="92"/>
      <c r="AK11" s="92"/>
      <c r="AL11" s="92"/>
    </row>
    <row r="12" spans="1:38" ht="15" customHeight="1" thickBot="1" x14ac:dyDescent="0.35">
      <c r="A12" s="62"/>
      <c r="B12" s="97"/>
      <c r="C12" s="97"/>
      <c r="D12" s="66"/>
      <c r="E12" s="75"/>
      <c r="F12" s="73"/>
      <c r="G12" s="81" t="s">
        <v>272</v>
      </c>
      <c r="H12" s="82"/>
      <c r="I12" s="82"/>
      <c r="J12" s="73"/>
      <c r="K12" s="106"/>
      <c r="L12" s="69"/>
      <c r="M12" s="101"/>
      <c r="N12" s="73"/>
      <c r="O12" s="73"/>
      <c r="P12" s="73"/>
      <c r="Q12" s="73"/>
      <c r="R12" s="73"/>
      <c r="S12" s="73"/>
      <c r="T12" s="73"/>
      <c r="U12" s="62"/>
      <c r="W12" s="61"/>
      <c r="X12" s="86" t="str" cm="1">
        <f t="array" ref="X12">IFERROR(_xlfn._xlws.FILTER(CookieSel[Cookies selected], TRUE=CookieSel[TRUE / FALSE]), "")</f>
        <v/>
      </c>
      <c r="Y12" s="87"/>
      <c r="Z12" s="80" t="str" cm="1">
        <f t="array" ref="Z12">IF(LEN(X12)&gt;0, IF(getServingCountSide(X12)&gt;0, getServingCountSide(X12), 0), "")</f>
        <v/>
      </c>
      <c r="AA12" s="108"/>
      <c r="AB12" s="105" t="s">
        <v>143</v>
      </c>
      <c r="AC12" s="105"/>
      <c r="AD12" s="104">
        <v>12.6</v>
      </c>
      <c r="AE12" s="61"/>
      <c r="AF12" s="92"/>
      <c r="AG12" s="92"/>
      <c r="AH12" s="92"/>
      <c r="AI12" s="92"/>
      <c r="AJ12" s="92"/>
      <c r="AK12" s="92"/>
      <c r="AL12" s="92"/>
    </row>
    <row r="13" spans="1:38" ht="15" customHeight="1" x14ac:dyDescent="0.3">
      <c r="A13" s="62"/>
      <c r="B13" s="69" t="s">
        <v>304</v>
      </c>
      <c r="C13" s="101"/>
      <c r="D13" s="73"/>
      <c r="E13" s="136" t="s">
        <v>137</v>
      </c>
      <c r="F13" s="140"/>
      <c r="G13" s="141">
        <v>2</v>
      </c>
      <c r="H13" s="73"/>
      <c r="I13" s="82" t="str">
        <f>IF(AND(Selections!O6=TRUE, ISBLANK(G13)), "Please enter serving count", "")</f>
        <v/>
      </c>
      <c r="J13" s="73"/>
      <c r="K13" s="106"/>
      <c r="L13" s="106"/>
      <c r="M13" s="106"/>
      <c r="N13" s="106"/>
      <c r="O13" s="106"/>
      <c r="P13" s="106"/>
      <c r="Q13" s="106"/>
      <c r="R13" s="106"/>
      <c r="S13" s="106"/>
      <c r="T13" s="106"/>
      <c r="U13" s="62"/>
      <c r="W13" s="61"/>
      <c r="X13" s="86"/>
      <c r="Y13" s="86"/>
      <c r="Z13" s="80" t="str" cm="1">
        <f t="array" ref="Z13">IF(LEN(X13)&gt;0, IF(getServingCountSide(X13)&gt;0, getServingCountSide(X13), 0), "")</f>
        <v/>
      </c>
      <c r="AA13" s="108"/>
      <c r="AB13" s="105" t="s">
        <v>144</v>
      </c>
      <c r="AC13" s="105"/>
      <c r="AD13" s="104">
        <v>31.2</v>
      </c>
      <c r="AE13" s="61"/>
      <c r="AF13" s="92"/>
      <c r="AG13" s="92"/>
      <c r="AH13" s="92"/>
      <c r="AI13" s="92"/>
      <c r="AJ13" s="92"/>
      <c r="AK13" s="92"/>
      <c r="AL13" s="92"/>
    </row>
    <row r="14" spans="1:38" ht="15" customHeight="1" x14ac:dyDescent="0.3">
      <c r="A14" s="62"/>
      <c r="B14" s="101"/>
      <c r="C14" s="101"/>
      <c r="D14" s="73"/>
      <c r="E14" s="127" t="s">
        <v>138</v>
      </c>
      <c r="F14" s="131"/>
      <c r="G14" s="142"/>
      <c r="H14" s="73"/>
      <c r="I14" s="82" t="str">
        <f>IF(AND(Selections!O7=TRUE, ISBLANK(G14)), "Please enter serving count", "")</f>
        <v/>
      </c>
      <c r="J14" s="73"/>
      <c r="K14" s="106"/>
      <c r="L14" s="106"/>
      <c r="M14" s="106"/>
      <c r="N14" s="106"/>
      <c r="O14" s="106"/>
      <c r="P14" s="106"/>
      <c r="Q14" s="106"/>
      <c r="R14" s="106"/>
      <c r="S14" s="106"/>
      <c r="T14" s="106"/>
      <c r="U14" s="62"/>
      <c r="W14" s="61"/>
      <c r="X14" s="86"/>
      <c r="Y14" s="86"/>
      <c r="Z14" s="80" t="str" cm="1">
        <f t="array" ref="Z14">IF(LEN(X14)&gt;0, IF(getServingCountSide(X14)&gt;0, getServingCountSide(X14), 0), "")</f>
        <v/>
      </c>
      <c r="AA14" s="108"/>
      <c r="AB14" s="105" t="s">
        <v>145</v>
      </c>
      <c r="AC14" s="105"/>
      <c r="AD14" s="104">
        <v>18.2</v>
      </c>
      <c r="AE14" s="61"/>
      <c r="AF14" s="92"/>
      <c r="AG14" s="92"/>
      <c r="AH14" s="92"/>
      <c r="AI14" s="92"/>
      <c r="AJ14" s="92"/>
      <c r="AK14" s="92"/>
      <c r="AL14" s="92"/>
    </row>
    <row r="15" spans="1:38" ht="15" customHeight="1" thickBot="1" x14ac:dyDescent="0.35">
      <c r="A15" s="62"/>
      <c r="B15" s="101"/>
      <c r="C15" s="101"/>
      <c r="D15" s="73"/>
      <c r="E15" s="125" t="s">
        <v>139</v>
      </c>
      <c r="F15" s="126"/>
      <c r="G15" s="143"/>
      <c r="H15" s="73"/>
      <c r="I15" s="82" t="str">
        <f>IF(AND(Selections!O8=TRUE, ISBLANK(G15)), "Please enter serving count", "")</f>
        <v/>
      </c>
      <c r="J15" s="73"/>
      <c r="K15" s="106"/>
      <c r="L15" s="106"/>
      <c r="M15" s="106"/>
      <c r="N15" s="106"/>
      <c r="O15" s="106"/>
      <c r="P15" s="106"/>
      <c r="Q15" s="106"/>
      <c r="R15" s="106"/>
      <c r="S15" s="106"/>
      <c r="T15" s="106"/>
      <c r="U15" s="62"/>
      <c r="W15" s="61"/>
      <c r="X15" s="86"/>
      <c r="Y15" s="86"/>
      <c r="Z15" s="80" t="str" cm="1">
        <f t="array" ref="Z15">IF(LEN(X15)&gt;0, IF(getServingCountSide(X15)&gt;0, getServingCountSide(X15), 0), "")</f>
        <v/>
      </c>
      <c r="AA15" s="108"/>
      <c r="AB15" s="105" t="s">
        <v>146</v>
      </c>
      <c r="AC15" s="105"/>
      <c r="AD15" s="104">
        <v>105.3</v>
      </c>
      <c r="AE15" s="61"/>
      <c r="AF15" s="92"/>
      <c r="AG15" s="92"/>
      <c r="AH15" s="92"/>
      <c r="AI15" s="92"/>
      <c r="AJ15" s="92"/>
      <c r="AK15" s="92"/>
      <c r="AL15" s="92"/>
    </row>
    <row r="16" spans="1:38" ht="15" customHeight="1" x14ac:dyDescent="0.3">
      <c r="A16" s="62"/>
      <c r="B16" s="101"/>
      <c r="C16" s="101"/>
      <c r="D16" s="73"/>
      <c r="E16" s="75"/>
      <c r="F16" s="82"/>
      <c r="G16" s="82"/>
      <c r="H16" s="82"/>
      <c r="I16" s="82"/>
      <c r="J16" s="73"/>
      <c r="K16" s="106"/>
      <c r="L16" s="106"/>
      <c r="M16" s="106"/>
      <c r="N16" s="106"/>
      <c r="O16" s="106"/>
      <c r="P16" s="106"/>
      <c r="Q16" s="106"/>
      <c r="R16" s="106"/>
      <c r="S16" s="106"/>
      <c r="T16" s="106"/>
      <c r="U16" s="62"/>
      <c r="W16" s="61"/>
      <c r="X16" s="86"/>
      <c r="Y16" s="86"/>
      <c r="Z16" s="80" t="str" cm="1">
        <f t="array" ref="Z16">IF(LEN(X16)&gt;0, IF(getServingCountSide(X16)&gt;0, getServingCountSide(X16), 0), "")</f>
        <v/>
      </c>
      <c r="AA16" s="109"/>
      <c r="AB16" s="105" t="s">
        <v>147</v>
      </c>
      <c r="AC16" s="105"/>
      <c r="AD16" s="104">
        <v>46.2</v>
      </c>
      <c r="AE16" s="107"/>
      <c r="AF16" s="92"/>
      <c r="AG16" s="92"/>
      <c r="AH16" s="92"/>
      <c r="AI16" s="92"/>
      <c r="AJ16" s="92"/>
      <c r="AK16" s="92"/>
      <c r="AL16" s="92"/>
    </row>
    <row r="17" spans="1:38" ht="15" customHeight="1" x14ac:dyDescent="0.3">
      <c r="A17" s="62"/>
      <c r="B17" s="106"/>
      <c r="C17" s="106"/>
      <c r="D17" s="106"/>
      <c r="E17" s="120"/>
      <c r="F17" s="123"/>
      <c r="G17" s="123"/>
      <c r="H17" s="123"/>
      <c r="I17" s="123"/>
      <c r="J17" s="106"/>
      <c r="K17" s="106"/>
      <c r="L17" s="106"/>
      <c r="M17" s="106"/>
      <c r="N17" s="106"/>
      <c r="O17" s="106"/>
      <c r="P17" s="106"/>
      <c r="Q17" s="106"/>
      <c r="R17" s="106"/>
      <c r="S17" s="106"/>
      <c r="T17" s="106"/>
      <c r="U17" s="62"/>
      <c r="W17" s="61"/>
      <c r="X17" s="113"/>
      <c r="Y17" s="61"/>
      <c r="Z17" s="61" t="str" cm="1">
        <f t="array" ref="Z17">IF(LEN(X17)&gt;0, IF(getServingCountSide(X17)&gt;0, getServingCountSide(X17), 0), "")</f>
        <v/>
      </c>
      <c r="AA17" s="109"/>
      <c r="AB17" s="105" t="s">
        <v>148</v>
      </c>
      <c r="AC17" s="105"/>
      <c r="AD17" s="104">
        <v>1.1000000000000001</v>
      </c>
      <c r="AE17" s="107"/>
      <c r="AF17" s="92"/>
      <c r="AG17" s="92"/>
      <c r="AH17" s="92"/>
      <c r="AI17" s="92"/>
      <c r="AJ17" s="92"/>
      <c r="AK17" s="92"/>
      <c r="AL17" s="92"/>
    </row>
    <row r="18" spans="1:38" ht="15" customHeight="1" x14ac:dyDescent="0.3">
      <c r="A18" s="62"/>
      <c r="B18" s="97"/>
      <c r="C18" s="97"/>
      <c r="D18" s="66"/>
      <c r="E18" s="68"/>
      <c r="F18" s="124"/>
      <c r="G18" s="124"/>
      <c r="H18" s="124"/>
      <c r="I18" s="124"/>
      <c r="J18" s="66"/>
      <c r="K18" s="62"/>
      <c r="L18" s="106"/>
      <c r="M18" s="106"/>
      <c r="N18" s="106"/>
      <c r="O18" s="106"/>
      <c r="P18" s="106"/>
      <c r="Q18" s="106"/>
      <c r="R18" s="106"/>
      <c r="S18" s="106"/>
      <c r="T18" s="106"/>
      <c r="U18" s="62"/>
      <c r="W18" s="61"/>
      <c r="X18" s="76" t="s">
        <v>310</v>
      </c>
      <c r="Y18" s="76"/>
      <c r="Z18" s="85" t="s">
        <v>274</v>
      </c>
      <c r="AA18" s="109"/>
      <c r="AB18" s="105" t="s">
        <v>149</v>
      </c>
      <c r="AC18" s="105"/>
      <c r="AD18" s="104">
        <v>734</v>
      </c>
      <c r="AE18" s="107"/>
      <c r="AF18" s="92"/>
      <c r="AG18" s="92"/>
      <c r="AH18" s="92"/>
      <c r="AI18" s="92"/>
      <c r="AJ18" s="92"/>
      <c r="AK18" s="92"/>
      <c r="AL18" s="92"/>
    </row>
    <row r="19" spans="1:38" ht="15" customHeight="1" thickBot="1" x14ac:dyDescent="0.35">
      <c r="A19" s="62"/>
      <c r="B19" s="97"/>
      <c r="C19" s="97"/>
      <c r="D19" s="66"/>
      <c r="E19" s="75"/>
      <c r="F19" s="73"/>
      <c r="G19" s="81" t="s">
        <v>272</v>
      </c>
      <c r="H19" s="82"/>
      <c r="I19" s="82"/>
      <c r="J19" s="73"/>
      <c r="K19" s="62"/>
      <c r="L19" s="62"/>
      <c r="M19" s="62"/>
      <c r="N19" s="62"/>
      <c r="O19" s="62"/>
      <c r="P19" s="62"/>
      <c r="Q19" s="62"/>
      <c r="R19" s="62"/>
      <c r="S19" s="62"/>
      <c r="T19" s="62"/>
      <c r="U19" s="62"/>
      <c r="W19" s="61"/>
      <c r="X19" s="86" t="str" cm="1">
        <f t="array" ref="X19">IFERROR(_xlfn._xlws.FILTER(PureeSel[Purees selected], TRUE=PureeSel[TRUE / FALSE]), "")</f>
        <v>Wattie's Fruit Squirtz, Apple &amp; Blackcurrant</v>
      </c>
      <c r="Y19" s="86"/>
      <c r="Z19" s="80" cm="1">
        <f t="array" aca="1" ref="Z19" ca="1">IF(LEN(X19)&gt;0, IF(getServingCountSide(X19)&gt;0, getServingCountSide(X19), 0), "")</f>
        <v>1</v>
      </c>
      <c r="AA19" s="108"/>
      <c r="AB19" s="61"/>
      <c r="AC19" s="61"/>
      <c r="AD19" s="108"/>
      <c r="AE19" s="61"/>
      <c r="AF19" s="92"/>
      <c r="AG19" s="92"/>
      <c r="AH19" s="92"/>
      <c r="AI19" s="92"/>
      <c r="AJ19" s="92"/>
      <c r="AK19" s="92"/>
      <c r="AL19" s="92"/>
    </row>
    <row r="20" spans="1:38" ht="15" customHeight="1" x14ac:dyDescent="0.3">
      <c r="A20" s="62"/>
      <c r="B20" s="69" t="s">
        <v>305</v>
      </c>
      <c r="C20" s="101"/>
      <c r="D20" s="73"/>
      <c r="E20" s="136" t="s">
        <v>204</v>
      </c>
      <c r="F20" s="140"/>
      <c r="G20" s="141"/>
      <c r="H20" s="73"/>
      <c r="I20" s="82" t="str">
        <f>IF(AND(Selections!O11=TRUE, ISBLANK(G20)), "Please enter serving count", "")</f>
        <v/>
      </c>
      <c r="J20" s="73"/>
      <c r="K20" s="62"/>
      <c r="L20" s="62"/>
      <c r="M20" s="62"/>
      <c r="N20" s="62"/>
      <c r="O20" s="62"/>
      <c r="P20" s="62"/>
      <c r="Q20" s="62"/>
      <c r="R20" s="62"/>
      <c r="S20" s="62"/>
      <c r="T20" s="62"/>
      <c r="U20" s="62"/>
      <c r="W20" s="61"/>
      <c r="X20" s="86"/>
      <c r="Y20" s="86"/>
      <c r="Z20" s="80" t="str" cm="1">
        <f t="array" ref="Z20">IF(LEN(X20)&gt;0, IF(getServingCountSide(X20)&gt;0, getServingCountSide(X20), 0), "")</f>
        <v/>
      </c>
      <c r="AA20" s="108"/>
      <c r="AB20" s="61"/>
      <c r="AC20" s="61"/>
      <c r="AD20" s="61"/>
      <c r="AE20" s="61"/>
      <c r="AF20" s="92"/>
      <c r="AG20" s="92"/>
      <c r="AH20" s="92"/>
      <c r="AI20" s="92"/>
      <c r="AJ20" s="92"/>
      <c r="AK20" s="92"/>
      <c r="AL20" s="92"/>
    </row>
    <row r="21" spans="1:38" ht="15" customHeight="1" x14ac:dyDescent="0.3">
      <c r="A21" s="62"/>
      <c r="B21" s="101"/>
      <c r="C21" s="101"/>
      <c r="D21" s="73"/>
      <c r="E21" s="144" t="s">
        <v>205</v>
      </c>
      <c r="F21" s="118"/>
      <c r="G21" s="142"/>
      <c r="H21" s="73"/>
      <c r="I21" s="82" t="str">
        <f>IF(AND(Selections!O12=TRUE, ISBLANK(G21)), "Please enter serving count", "")</f>
        <v/>
      </c>
      <c r="J21" s="73"/>
      <c r="K21" s="62"/>
      <c r="L21" s="62"/>
      <c r="M21" s="62"/>
      <c r="N21" s="62"/>
      <c r="O21" s="62"/>
      <c r="P21" s="62"/>
      <c r="Q21" s="62"/>
      <c r="R21" s="62"/>
      <c r="S21" s="62"/>
      <c r="T21" s="62"/>
      <c r="U21" s="62"/>
      <c r="W21" s="61"/>
      <c r="X21" s="86"/>
      <c r="Y21" s="86"/>
      <c r="Z21" s="80" t="str" cm="1">
        <f t="array" ref="Z21">IF(LEN(X21)&gt;0, IF(getServingCountSide(X21)&gt;0, getServingCountSide(X21), 0), "")</f>
        <v/>
      </c>
      <c r="AA21" s="108"/>
      <c r="AB21" s="61"/>
      <c r="AC21" s="61"/>
      <c r="AD21" s="61"/>
      <c r="AE21" s="61"/>
      <c r="AF21" s="92"/>
      <c r="AG21" s="92"/>
      <c r="AH21" s="92"/>
      <c r="AI21" s="92"/>
      <c r="AJ21" s="92"/>
      <c r="AK21" s="92"/>
      <c r="AL21" s="92"/>
    </row>
    <row r="22" spans="1:38" ht="15" customHeight="1" thickBot="1" x14ac:dyDescent="0.35">
      <c r="A22" s="62"/>
      <c r="B22" s="101"/>
      <c r="C22" s="101"/>
      <c r="D22" s="73"/>
      <c r="E22" s="138" t="s">
        <v>206</v>
      </c>
      <c r="F22" s="139"/>
      <c r="G22" s="145"/>
      <c r="H22" s="73"/>
      <c r="I22" s="82" t="str">
        <f>IF(AND(Selections!O13=TRUE, ISBLANK(G22)), "Please enter serving count", "")</f>
        <v/>
      </c>
      <c r="J22" s="73"/>
      <c r="K22" s="62"/>
      <c r="L22" s="62"/>
      <c r="M22" s="62"/>
      <c r="N22" s="62"/>
      <c r="O22" s="62"/>
      <c r="P22" s="62"/>
      <c r="Q22" s="62"/>
      <c r="R22" s="62"/>
      <c r="S22" s="62"/>
      <c r="T22" s="62"/>
      <c r="U22" s="62"/>
      <c r="W22" s="61"/>
      <c r="X22" s="76" t="s">
        <v>203</v>
      </c>
      <c r="Y22" s="76"/>
      <c r="Z22" s="85" t="s">
        <v>274</v>
      </c>
      <c r="AA22" s="108"/>
      <c r="AB22" s="61"/>
      <c r="AC22" s="61"/>
      <c r="AD22" s="61"/>
      <c r="AE22" s="61"/>
      <c r="AF22" s="92"/>
      <c r="AG22" s="92"/>
      <c r="AH22" s="92"/>
      <c r="AI22" s="92"/>
      <c r="AJ22" s="92"/>
      <c r="AK22" s="92"/>
      <c r="AL22" s="92"/>
    </row>
    <row r="23" spans="1:38" ht="15" customHeight="1" x14ac:dyDescent="0.3">
      <c r="A23" s="62"/>
      <c r="B23" s="101"/>
      <c r="C23" s="101"/>
      <c r="D23" s="73"/>
      <c r="E23" s="75"/>
      <c r="F23" s="82"/>
      <c r="G23" s="82"/>
      <c r="H23" s="82"/>
      <c r="I23" s="82"/>
      <c r="J23" s="73"/>
      <c r="K23" s="62"/>
      <c r="L23" s="62"/>
      <c r="M23" s="62"/>
      <c r="N23" s="62"/>
      <c r="O23" s="62"/>
      <c r="P23" s="62"/>
      <c r="Q23" s="62"/>
      <c r="R23" s="62"/>
      <c r="S23" s="62"/>
      <c r="T23" s="62"/>
      <c r="U23" s="62"/>
      <c r="W23" s="61"/>
      <c r="X23" s="86" t="str" cm="1">
        <f t="array" ref="X23">IFERROR(_xlfn._xlws.FILTER(SmoothieSel[Smoothies selected], TRUE=SmoothieSel[TRUE / FALSE]), "")</f>
        <v/>
      </c>
      <c r="Y23" s="86"/>
      <c r="Z23" s="80" t="str" cm="1">
        <f t="array" ref="Z23">IF(LEN(X23)&gt;0, IF(getServingCountSide(X23)&gt;0, getServingCountSide(X23), 0), "")</f>
        <v/>
      </c>
      <c r="AA23" s="108"/>
      <c r="AB23" s="61"/>
      <c r="AC23" s="61"/>
      <c r="AD23" s="61"/>
      <c r="AE23" s="61"/>
      <c r="AF23" s="92"/>
      <c r="AG23" s="92"/>
      <c r="AH23" s="92"/>
      <c r="AI23" s="92"/>
      <c r="AJ23" s="92"/>
      <c r="AK23" s="92"/>
      <c r="AL23" s="92"/>
    </row>
    <row r="24" spans="1:38" ht="15" customHeight="1" thickBot="1" x14ac:dyDescent="0.35">
      <c r="A24" s="62"/>
      <c r="B24" s="97"/>
      <c r="C24" s="97"/>
      <c r="D24" s="66"/>
      <c r="E24" s="75"/>
      <c r="F24" s="73"/>
      <c r="G24" s="81" t="s">
        <v>272</v>
      </c>
      <c r="H24" s="82"/>
      <c r="I24" s="82"/>
      <c r="J24" s="73"/>
      <c r="K24" s="62"/>
      <c r="L24" s="62"/>
      <c r="M24" s="62"/>
      <c r="N24" s="62"/>
      <c r="O24" s="62"/>
      <c r="P24" s="62"/>
      <c r="Q24" s="62"/>
      <c r="R24" s="62"/>
      <c r="S24" s="62"/>
      <c r="T24" s="62"/>
      <c r="U24" s="62"/>
      <c r="W24" s="61"/>
      <c r="X24" s="86"/>
      <c r="Y24" s="86"/>
      <c r="Z24" s="80" t="str" cm="1">
        <f t="array" ref="Z24">IF(LEN(X24)&gt;0, IF(getServingCountSide(X24)&gt;0, getServingCountSide(X24), 0), "")</f>
        <v/>
      </c>
      <c r="AA24" s="108"/>
      <c r="AB24" s="61"/>
      <c r="AC24" s="61"/>
      <c r="AD24" s="61"/>
      <c r="AE24" s="61"/>
      <c r="AF24" s="92"/>
      <c r="AG24" s="92"/>
      <c r="AH24" s="92"/>
      <c r="AI24" s="92"/>
      <c r="AJ24" s="92"/>
      <c r="AK24" s="92"/>
      <c r="AL24" s="92"/>
    </row>
    <row r="25" spans="1:38" ht="15" customHeight="1" x14ac:dyDescent="0.3">
      <c r="A25" s="62"/>
      <c r="B25" s="69" t="s">
        <v>307</v>
      </c>
      <c r="C25" s="101"/>
      <c r="D25" s="73"/>
      <c r="E25" s="136" t="s">
        <v>365</v>
      </c>
      <c r="F25" s="140"/>
      <c r="G25" s="141">
        <v>1</v>
      </c>
      <c r="H25" s="73"/>
      <c r="I25" s="82" t="str">
        <f>IF(AND(Selections!O16=TRUE, ISBLANK(G25)), "Please enter serving count", "")</f>
        <v/>
      </c>
      <c r="J25" s="73"/>
      <c r="K25" s="62"/>
      <c r="L25" s="62"/>
      <c r="M25" s="62"/>
      <c r="N25" s="62"/>
      <c r="O25" s="62"/>
      <c r="P25" s="62"/>
      <c r="Q25" s="62"/>
      <c r="R25" s="62"/>
      <c r="S25" s="62"/>
      <c r="T25" s="62"/>
      <c r="U25" s="62"/>
      <c r="W25" s="61"/>
      <c r="X25" s="86"/>
      <c r="Y25" s="86"/>
      <c r="Z25" s="80" t="str" cm="1">
        <f t="array" ref="Z25">IF(LEN(X25)&gt;0, IF(getServingCountSide(X25)&gt;0, getServingCountSide(X25), 0), "")</f>
        <v/>
      </c>
      <c r="AA25" s="108"/>
      <c r="AB25" s="61"/>
      <c r="AC25" s="61"/>
      <c r="AD25" s="61"/>
      <c r="AE25" s="61"/>
      <c r="AF25" s="92"/>
      <c r="AG25" s="92"/>
      <c r="AH25" s="92"/>
      <c r="AI25" s="92"/>
      <c r="AJ25" s="92"/>
      <c r="AK25" s="92"/>
      <c r="AL25" s="92"/>
    </row>
    <row r="26" spans="1:38" ht="15" customHeight="1" x14ac:dyDescent="0.3">
      <c r="A26" s="62"/>
      <c r="B26" s="101"/>
      <c r="C26" s="101"/>
      <c r="D26" s="73"/>
      <c r="E26" s="127" t="s">
        <v>366</v>
      </c>
      <c r="F26" s="129"/>
      <c r="G26" s="142"/>
      <c r="H26" s="73"/>
      <c r="I26" s="82" t="str">
        <f>IF(AND(Selections!O17=TRUE, ISBLANK(G26)), "Please enter serving count", "")</f>
        <v/>
      </c>
      <c r="J26" s="73"/>
      <c r="K26" s="62"/>
      <c r="L26" s="62"/>
      <c r="M26" s="62"/>
      <c r="N26" s="62"/>
      <c r="O26" s="62"/>
      <c r="P26" s="62"/>
      <c r="Q26" s="62"/>
      <c r="R26" s="62"/>
      <c r="S26" s="62"/>
      <c r="T26" s="62"/>
      <c r="U26" s="62"/>
      <c r="W26" s="61"/>
      <c r="X26" s="113"/>
      <c r="Y26" s="61"/>
      <c r="Z26" s="61" t="str" cm="1">
        <f t="array" ref="Z26">IF(LEN(X26)&gt;0, IF(getServingCountSide(X26)&gt;0, getServingCountSide(X26), 0), "")</f>
        <v/>
      </c>
      <c r="AA26" s="108"/>
      <c r="AB26" s="61"/>
      <c r="AC26" s="61"/>
      <c r="AD26" s="61"/>
      <c r="AE26" s="61"/>
      <c r="AF26" s="92"/>
      <c r="AG26" s="92"/>
      <c r="AH26" s="92"/>
      <c r="AI26" s="92"/>
      <c r="AJ26" s="92"/>
      <c r="AK26" s="92"/>
      <c r="AL26" s="92"/>
    </row>
    <row r="27" spans="1:38" ht="15" customHeight="1" thickBot="1" x14ac:dyDescent="0.35">
      <c r="A27" s="62"/>
      <c r="B27" s="69"/>
      <c r="C27" s="101"/>
      <c r="D27" s="73"/>
      <c r="E27" s="138" t="s">
        <v>367</v>
      </c>
      <c r="F27" s="139"/>
      <c r="G27" s="145"/>
      <c r="H27" s="73"/>
      <c r="I27" s="82" t="str">
        <f>IF(AND(Selections!O18=TRUE, ISBLANK(G27)), "Please enter serving count", "")</f>
        <v/>
      </c>
      <c r="J27" s="73"/>
      <c r="K27" s="62"/>
      <c r="L27" s="62"/>
      <c r="M27" s="62"/>
      <c r="N27" s="62"/>
      <c r="O27" s="62"/>
      <c r="P27" s="62"/>
      <c r="Q27" s="62"/>
      <c r="R27" s="62"/>
      <c r="S27" s="62"/>
      <c r="T27" s="62"/>
      <c r="U27" s="62"/>
      <c r="W27" s="61"/>
      <c r="X27" s="76" t="s">
        <v>150</v>
      </c>
      <c r="Y27" s="102"/>
      <c r="Z27" s="85" t="s">
        <v>274</v>
      </c>
      <c r="AA27" s="108"/>
      <c r="AB27" s="61"/>
      <c r="AC27" s="61"/>
      <c r="AD27" s="61"/>
      <c r="AE27" s="61"/>
      <c r="AF27" s="92"/>
      <c r="AG27" s="92"/>
      <c r="AH27" s="92"/>
      <c r="AI27" s="92"/>
      <c r="AJ27" s="92"/>
      <c r="AK27" s="92"/>
      <c r="AL27" s="92"/>
    </row>
    <row r="28" spans="1:38" ht="15" customHeight="1" x14ac:dyDescent="0.3">
      <c r="A28" s="62"/>
      <c r="B28" s="101"/>
      <c r="C28" s="101"/>
      <c r="D28" s="73"/>
      <c r="E28" s="73"/>
      <c r="F28" s="73"/>
      <c r="G28" s="73"/>
      <c r="H28" s="73"/>
      <c r="I28" s="73"/>
      <c r="J28" s="73"/>
      <c r="K28" s="62"/>
      <c r="L28" s="62"/>
      <c r="M28" s="62"/>
      <c r="N28" s="62"/>
      <c r="O28" s="62"/>
      <c r="P28" s="62"/>
      <c r="Q28" s="62"/>
      <c r="R28" s="62"/>
      <c r="S28" s="62"/>
      <c r="T28" s="62"/>
      <c r="U28" s="62"/>
      <c r="W28" s="61"/>
      <c r="X28" s="86" t="str" cm="1">
        <f t="array" ref="X28">IFERROR(_xlfn._xlws.FILTER(SnackSel[Snacks selected], TRUE=SnackSel[TRUE / FALSE]), "")</f>
        <v/>
      </c>
      <c r="Y28" s="86"/>
      <c r="Z28" s="80" t="str" cm="1">
        <f t="array" ref="Z28">IF(LEN(X28)&gt;0, IF(getServingCountSide(X28)&gt;0, getServingCountSide(X28), 0), "")</f>
        <v/>
      </c>
      <c r="AA28" s="108"/>
      <c r="AB28" s="61"/>
      <c r="AC28" s="61"/>
      <c r="AD28" s="61"/>
      <c r="AE28" s="61"/>
      <c r="AF28" s="92"/>
      <c r="AG28" s="92"/>
      <c r="AH28" s="92"/>
      <c r="AI28" s="92"/>
      <c r="AJ28" s="92"/>
      <c r="AK28" s="92"/>
      <c r="AL28" s="92"/>
    </row>
    <row r="29" spans="1:38" ht="15" customHeight="1" x14ac:dyDescent="0.3">
      <c r="A29" s="62"/>
      <c r="B29" s="106"/>
      <c r="C29" s="106"/>
      <c r="D29" s="106"/>
      <c r="E29" s="106"/>
      <c r="F29" s="106"/>
      <c r="G29" s="106"/>
      <c r="H29" s="106"/>
      <c r="I29" s="106"/>
      <c r="J29" s="106"/>
      <c r="K29" s="62"/>
      <c r="L29" s="62"/>
      <c r="M29" s="62"/>
      <c r="N29" s="62"/>
      <c r="O29" s="62"/>
      <c r="P29" s="62"/>
      <c r="Q29" s="62"/>
      <c r="R29" s="62"/>
      <c r="S29" s="62"/>
      <c r="T29" s="62"/>
      <c r="U29" s="62"/>
      <c r="W29" s="61"/>
      <c r="X29" s="86"/>
      <c r="Y29" s="86"/>
      <c r="Z29" s="80" t="str" cm="1">
        <f t="array" ref="Z29">IF(LEN(X29)&gt;0, IF(getServingCountSide(X29)&gt;0, getServingCountSide(X29), 0), "")</f>
        <v/>
      </c>
      <c r="AA29" s="108"/>
      <c r="AB29" s="61"/>
      <c r="AC29" s="61"/>
      <c r="AD29" s="61"/>
      <c r="AE29" s="61"/>
      <c r="AF29" s="92"/>
      <c r="AG29" s="92"/>
      <c r="AH29" s="92"/>
      <c r="AI29" s="92"/>
      <c r="AJ29" s="92"/>
      <c r="AK29" s="92"/>
      <c r="AL29" s="92"/>
    </row>
    <row r="30" spans="1:38" ht="15" customHeight="1" x14ac:dyDescent="0.3">
      <c r="W30" s="61"/>
      <c r="X30" s="86"/>
      <c r="Y30" s="86"/>
      <c r="Z30" s="80" t="str" cm="1">
        <f t="array" ref="Z30">IF(LEN(X30)&gt;0, IF(getServingCountSide(X30)&gt;0, getServingCountSide(X30), 0), "")</f>
        <v/>
      </c>
      <c r="AA30" s="108"/>
      <c r="AB30" s="61"/>
      <c r="AC30" s="61"/>
      <c r="AD30" s="61"/>
      <c r="AE30" s="61"/>
      <c r="AF30" s="92"/>
      <c r="AG30" s="92"/>
      <c r="AH30" s="92"/>
      <c r="AI30" s="92"/>
      <c r="AJ30" s="92"/>
      <c r="AK30" s="92"/>
      <c r="AL30" s="92"/>
    </row>
    <row r="31" spans="1:38" ht="15" customHeight="1" x14ac:dyDescent="0.3">
      <c r="W31" s="61"/>
      <c r="X31" s="86"/>
      <c r="Y31" s="86"/>
      <c r="Z31" s="80" t="str" cm="1">
        <f t="array" ref="Z31">IF(LEN(X31)&gt;0, IF(getServingCountSide(X31)&gt;0, getServingCountSide(X31), 0), "")</f>
        <v/>
      </c>
      <c r="AA31" s="108"/>
      <c r="AB31" s="61"/>
      <c r="AC31" s="61"/>
      <c r="AD31" s="61"/>
      <c r="AE31" s="61"/>
      <c r="AF31" s="92"/>
      <c r="AG31" s="92"/>
      <c r="AH31" s="92"/>
      <c r="AI31" s="92"/>
      <c r="AJ31" s="92"/>
      <c r="AK31" s="92"/>
      <c r="AL31" s="92"/>
    </row>
    <row r="32" spans="1:38" ht="15" customHeight="1" x14ac:dyDescent="0.3">
      <c r="W32" s="61"/>
      <c r="X32" s="86"/>
      <c r="Y32" s="86"/>
      <c r="Z32" s="80" t="str" cm="1">
        <f t="array" ref="Z32">IF(LEN(X32)&gt;0, IF(getServingCountSide(X32)&gt;0, getServingCountSide(X32), 0), "")</f>
        <v/>
      </c>
      <c r="AA32" s="61"/>
      <c r="AB32" s="61"/>
      <c r="AC32" s="61"/>
      <c r="AD32" s="61"/>
      <c r="AE32" s="61"/>
      <c r="AF32" s="92"/>
      <c r="AG32" s="92"/>
      <c r="AH32" s="92"/>
      <c r="AI32" s="92"/>
      <c r="AJ32" s="92"/>
      <c r="AK32" s="92"/>
      <c r="AL32" s="92"/>
    </row>
    <row r="33" spans="1:38" ht="15" customHeight="1" x14ac:dyDescent="0.3">
      <c r="W33" s="61"/>
      <c r="X33" s="86"/>
      <c r="Y33" s="86"/>
      <c r="Z33" s="80" t="str" cm="1">
        <f t="array" ref="Z33">IF(LEN(X33)&gt;0, IF(getServingCountSide(X33)&gt;0, getServingCountSide(X33), 0), "")</f>
        <v/>
      </c>
      <c r="AA33" s="61"/>
      <c r="AB33" s="61"/>
      <c r="AC33" s="61"/>
      <c r="AD33" s="61"/>
      <c r="AE33" s="61"/>
      <c r="AF33" s="92"/>
      <c r="AG33" s="92"/>
      <c r="AH33" s="92"/>
      <c r="AI33" s="92"/>
      <c r="AJ33" s="92"/>
      <c r="AK33" s="92"/>
      <c r="AL33" s="92"/>
    </row>
    <row r="34" spans="1:38" ht="15" customHeight="1" x14ac:dyDescent="0.3">
      <c r="W34" s="61"/>
      <c r="X34" s="61"/>
      <c r="Y34" s="61"/>
      <c r="Z34" s="61"/>
      <c r="AA34" s="61"/>
      <c r="AB34" s="61"/>
      <c r="AC34" s="61"/>
      <c r="AD34" s="61"/>
      <c r="AE34" s="61"/>
      <c r="AF34" s="92"/>
      <c r="AG34" s="92"/>
      <c r="AH34" s="92"/>
      <c r="AI34" s="92"/>
      <c r="AJ34" s="92"/>
      <c r="AK34" s="92"/>
      <c r="AL34" s="92"/>
    </row>
    <row r="35" spans="1:38" ht="15" customHeight="1" x14ac:dyDescent="0.3">
      <c r="A35" s="283"/>
      <c r="B35" s="283"/>
      <c r="C35" s="283"/>
      <c r="D35" s="283"/>
      <c r="E35" s="283"/>
      <c r="F35" s="283"/>
      <c r="G35" s="283"/>
      <c r="H35" s="283"/>
      <c r="I35" s="283"/>
      <c r="J35" s="283"/>
      <c r="K35" s="283"/>
      <c r="L35" s="283"/>
      <c r="M35" s="283"/>
      <c r="N35" s="283"/>
      <c r="O35" s="283"/>
      <c r="P35" s="283"/>
      <c r="Q35" s="283"/>
      <c r="R35" s="283"/>
      <c r="S35" s="283"/>
      <c r="T35" s="283"/>
      <c r="U35" s="283"/>
      <c r="AF35" s="92"/>
      <c r="AG35" s="92"/>
      <c r="AH35" s="92"/>
      <c r="AI35" s="92"/>
      <c r="AJ35" s="92"/>
      <c r="AK35" s="92"/>
      <c r="AL35" s="92"/>
    </row>
  </sheetData>
  <mergeCells count="2">
    <mergeCell ref="A1:U3"/>
    <mergeCell ref="X1:AD3"/>
  </mergeCells>
  <conditionalFormatting sqref="G6:G10 G20:G22 G25:G27 G13:G15 Q6:Q11">
    <cfRule type="expression" dxfId="0" priority="1">
      <formula>LEN(I6)&gt;0</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70" r:id="rId4" name="Check Box 46">
              <controlPr defaultSize="0" autoFill="0" autoLine="0" autoPict="0">
                <anchor moveWithCells="1">
                  <from>
                    <xdr:col>5</xdr:col>
                    <xdr:colOff>0</xdr:colOff>
                    <xdr:row>5</xdr:row>
                    <xdr:rowOff>6350</xdr:rowOff>
                  </from>
                  <to>
                    <xdr:col>6</xdr:col>
                    <xdr:colOff>0</xdr:colOff>
                    <xdr:row>6</xdr:row>
                    <xdr:rowOff>0</xdr:rowOff>
                  </to>
                </anchor>
              </controlPr>
            </control>
          </mc:Choice>
        </mc:AlternateContent>
        <mc:AlternateContent xmlns:mc="http://schemas.openxmlformats.org/markup-compatibility/2006">
          <mc:Choice Requires="x14">
            <control shapeId="26671" r:id="rId5" name="Check Box 47">
              <controlPr defaultSize="0" autoFill="0" autoLine="0" autoPict="0">
                <anchor moveWithCells="1">
                  <from>
                    <xdr:col>5</xdr:col>
                    <xdr:colOff>0</xdr:colOff>
                    <xdr:row>5</xdr:row>
                    <xdr:rowOff>190500</xdr:rowOff>
                  </from>
                  <to>
                    <xdr:col>6</xdr:col>
                    <xdr:colOff>0</xdr:colOff>
                    <xdr:row>7</xdr:row>
                    <xdr:rowOff>0</xdr:rowOff>
                  </to>
                </anchor>
              </controlPr>
            </control>
          </mc:Choice>
        </mc:AlternateContent>
        <mc:AlternateContent xmlns:mc="http://schemas.openxmlformats.org/markup-compatibility/2006">
          <mc:Choice Requires="x14">
            <control shapeId="26672" r:id="rId6" name="Check Box 48">
              <controlPr defaultSize="0" autoFill="0" autoLine="0" autoPict="0">
                <anchor mov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26673" r:id="rId7" name="Check Box 49">
              <controlPr defaultSize="0" autoFill="0" autoLine="0" autoPict="0">
                <anchor moveWithCells="1">
                  <from>
                    <xdr:col>5</xdr:col>
                    <xdr:colOff>0</xdr:colOff>
                    <xdr:row>7</xdr:row>
                    <xdr:rowOff>190500</xdr:rowOff>
                  </from>
                  <to>
                    <xdr:col>6</xdr:col>
                    <xdr:colOff>0</xdr:colOff>
                    <xdr:row>9</xdr:row>
                    <xdr:rowOff>0</xdr:rowOff>
                  </to>
                </anchor>
              </controlPr>
            </control>
          </mc:Choice>
        </mc:AlternateContent>
        <mc:AlternateContent xmlns:mc="http://schemas.openxmlformats.org/markup-compatibility/2006">
          <mc:Choice Requires="x14">
            <control shapeId="26674" r:id="rId8" name="Check Box 50">
              <controlPr defaultSize="0" autoFill="0" autoLine="0" autoPict="0">
                <anchor moveWithCells="1">
                  <from>
                    <xdr:col>5</xdr:col>
                    <xdr:colOff>0</xdr:colOff>
                    <xdr:row>8</xdr:row>
                    <xdr:rowOff>190500</xdr:rowOff>
                  </from>
                  <to>
                    <xdr:col>6</xdr:col>
                    <xdr:colOff>0</xdr:colOff>
                    <xdr:row>10</xdr:row>
                    <xdr:rowOff>0</xdr:rowOff>
                  </to>
                </anchor>
              </controlPr>
            </control>
          </mc:Choice>
        </mc:AlternateContent>
        <mc:AlternateContent xmlns:mc="http://schemas.openxmlformats.org/markup-compatibility/2006">
          <mc:Choice Requires="x14">
            <control shapeId="26675" r:id="rId9" name="Check Box 51">
              <controlPr defaultSize="0" autoFill="0" autoLine="0" autoPict="0">
                <anchor moveWithCells="1">
                  <from>
                    <xdr:col>5</xdr:col>
                    <xdr:colOff>0</xdr:colOff>
                    <xdr:row>11</xdr:row>
                    <xdr:rowOff>190500</xdr:rowOff>
                  </from>
                  <to>
                    <xdr:col>6</xdr:col>
                    <xdr:colOff>0</xdr:colOff>
                    <xdr:row>13</xdr:row>
                    <xdr:rowOff>0</xdr:rowOff>
                  </to>
                </anchor>
              </controlPr>
            </control>
          </mc:Choice>
        </mc:AlternateContent>
        <mc:AlternateContent xmlns:mc="http://schemas.openxmlformats.org/markup-compatibility/2006">
          <mc:Choice Requires="x14">
            <control shapeId="26676" r:id="rId10" name="Check Box 52">
              <controlPr defaultSize="0" autoFill="0" autoLine="0" autoPict="0">
                <anchor moveWithCells="1">
                  <from>
                    <xdr:col>5</xdr:col>
                    <xdr:colOff>0</xdr:colOff>
                    <xdr:row>13</xdr:row>
                    <xdr:rowOff>0</xdr:rowOff>
                  </from>
                  <to>
                    <xdr:col>6</xdr:col>
                    <xdr:colOff>0</xdr:colOff>
                    <xdr:row>14</xdr:row>
                    <xdr:rowOff>0</xdr:rowOff>
                  </to>
                </anchor>
              </controlPr>
            </control>
          </mc:Choice>
        </mc:AlternateContent>
        <mc:AlternateContent xmlns:mc="http://schemas.openxmlformats.org/markup-compatibility/2006">
          <mc:Choice Requires="x14">
            <control shapeId="26677" r:id="rId11" name="Check Box 53">
              <controlPr defaultSize="0" autoFill="0" autoLine="0" autoPict="0">
                <anchor moveWithCells="1">
                  <from>
                    <xdr:col>5</xdr:col>
                    <xdr:colOff>0</xdr:colOff>
                    <xdr:row>13</xdr:row>
                    <xdr:rowOff>190500</xdr:rowOff>
                  </from>
                  <to>
                    <xdr:col>6</xdr:col>
                    <xdr:colOff>0</xdr:colOff>
                    <xdr:row>14</xdr:row>
                    <xdr:rowOff>177800</xdr:rowOff>
                  </to>
                </anchor>
              </controlPr>
            </control>
          </mc:Choice>
        </mc:AlternateContent>
        <mc:AlternateContent xmlns:mc="http://schemas.openxmlformats.org/markup-compatibility/2006">
          <mc:Choice Requires="x14">
            <control shapeId="26678" r:id="rId12" name="Check Box 54">
              <controlPr defaultSize="0" autoFill="0" autoLine="0" autoPict="0">
                <anchor moveWithCells="1">
                  <from>
                    <xdr:col>5</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26679" r:id="rId13" name="Check Box 55">
              <controlPr defaultSize="0" autoFill="0" autoLine="0" autoPict="0">
                <anchor moveWithCells="1">
                  <from>
                    <xdr:col>5</xdr:col>
                    <xdr:colOff>0</xdr:colOff>
                    <xdr:row>19</xdr:row>
                    <xdr:rowOff>190500</xdr:rowOff>
                  </from>
                  <to>
                    <xdr:col>6</xdr:col>
                    <xdr:colOff>0</xdr:colOff>
                    <xdr:row>21</xdr:row>
                    <xdr:rowOff>0</xdr:rowOff>
                  </to>
                </anchor>
              </controlPr>
            </control>
          </mc:Choice>
        </mc:AlternateContent>
        <mc:AlternateContent xmlns:mc="http://schemas.openxmlformats.org/markup-compatibility/2006">
          <mc:Choice Requires="x14">
            <control shapeId="26680" r:id="rId14" name="Check Box 56">
              <controlPr defaultSize="0" autoFill="0" autoLine="0" autoPict="0">
                <anchor moveWithCells="1">
                  <from>
                    <xdr:col>5</xdr:col>
                    <xdr:colOff>0</xdr:colOff>
                    <xdr:row>20</xdr:row>
                    <xdr:rowOff>190500</xdr:rowOff>
                  </from>
                  <to>
                    <xdr:col>6</xdr:col>
                    <xdr:colOff>0</xdr:colOff>
                    <xdr:row>22</xdr:row>
                    <xdr:rowOff>0</xdr:rowOff>
                  </to>
                </anchor>
              </controlPr>
            </control>
          </mc:Choice>
        </mc:AlternateContent>
        <mc:AlternateContent xmlns:mc="http://schemas.openxmlformats.org/markup-compatibility/2006">
          <mc:Choice Requires="x14">
            <control shapeId="26681" r:id="rId15" name="Check Box 57">
              <controlPr defaultSize="0" autoFill="0" autoLine="0" autoPict="0">
                <anchor moveWithCells="1">
                  <from>
                    <xdr:col>5</xdr:col>
                    <xdr:colOff>0</xdr:colOff>
                    <xdr:row>23</xdr:row>
                    <xdr:rowOff>190500</xdr:rowOff>
                  </from>
                  <to>
                    <xdr:col>6</xdr:col>
                    <xdr:colOff>0</xdr:colOff>
                    <xdr:row>25</xdr:row>
                    <xdr:rowOff>0</xdr:rowOff>
                  </to>
                </anchor>
              </controlPr>
            </control>
          </mc:Choice>
        </mc:AlternateContent>
        <mc:AlternateContent xmlns:mc="http://schemas.openxmlformats.org/markup-compatibility/2006">
          <mc:Choice Requires="x14">
            <control shapeId="26682" r:id="rId16" name="Check Box 58">
              <controlPr defaultSize="0" autoFill="0" autoLine="0" autoPict="0">
                <anchor moveWithCells="1">
                  <from>
                    <xdr:col>5</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26683" r:id="rId17" name="Check Box 59">
              <controlPr defaultSize="0" autoFill="0" autoLine="0" autoPict="0">
                <anchor moveWithCells="1">
                  <from>
                    <xdr:col>5</xdr:col>
                    <xdr:colOff>0</xdr:colOff>
                    <xdr:row>25</xdr:row>
                    <xdr:rowOff>190500</xdr:rowOff>
                  </from>
                  <to>
                    <xdr:col>6</xdr:col>
                    <xdr:colOff>0</xdr:colOff>
                    <xdr:row>27</xdr:row>
                    <xdr:rowOff>0</xdr:rowOff>
                  </to>
                </anchor>
              </controlPr>
            </control>
          </mc:Choice>
        </mc:AlternateContent>
        <mc:AlternateContent xmlns:mc="http://schemas.openxmlformats.org/markup-compatibility/2006">
          <mc:Choice Requires="x14">
            <control shapeId="26684" r:id="rId18" name="Check Box 60">
              <controlPr defaultSize="0" autoFill="0" autoLine="0" autoPict="0">
                <anchor moveWithCells="1">
                  <from>
                    <xdr:col>15</xdr:col>
                    <xdr:colOff>0</xdr:colOff>
                    <xdr:row>4</xdr:row>
                    <xdr:rowOff>190500</xdr:rowOff>
                  </from>
                  <to>
                    <xdr:col>16</xdr:col>
                    <xdr:colOff>0</xdr:colOff>
                    <xdr:row>6</xdr:row>
                    <xdr:rowOff>0</xdr:rowOff>
                  </to>
                </anchor>
              </controlPr>
            </control>
          </mc:Choice>
        </mc:AlternateContent>
        <mc:AlternateContent xmlns:mc="http://schemas.openxmlformats.org/markup-compatibility/2006">
          <mc:Choice Requires="x14">
            <control shapeId="26685" r:id="rId19" name="Check Box 61">
              <controlPr defaultSize="0" autoFill="0" autoLine="0" autoPict="0">
                <anchor moveWithCells="1">
                  <from>
                    <xdr:col>15</xdr:col>
                    <xdr:colOff>0</xdr:colOff>
                    <xdr:row>5</xdr:row>
                    <xdr:rowOff>190500</xdr:rowOff>
                  </from>
                  <to>
                    <xdr:col>16</xdr:col>
                    <xdr:colOff>0</xdr:colOff>
                    <xdr:row>7</xdr:row>
                    <xdr:rowOff>0</xdr:rowOff>
                  </to>
                </anchor>
              </controlPr>
            </control>
          </mc:Choice>
        </mc:AlternateContent>
        <mc:AlternateContent xmlns:mc="http://schemas.openxmlformats.org/markup-compatibility/2006">
          <mc:Choice Requires="x14">
            <control shapeId="26686" r:id="rId20" name="Check Box 62">
              <controlPr defaultSize="0" autoFill="0" autoLine="0" autoPict="0">
                <anchor moveWithCells="1">
                  <from>
                    <xdr:col>15</xdr:col>
                    <xdr:colOff>0</xdr:colOff>
                    <xdr:row>7</xdr:row>
                    <xdr:rowOff>0</xdr:rowOff>
                  </from>
                  <to>
                    <xdr:col>16</xdr:col>
                    <xdr:colOff>0</xdr:colOff>
                    <xdr:row>8</xdr:row>
                    <xdr:rowOff>0</xdr:rowOff>
                  </to>
                </anchor>
              </controlPr>
            </control>
          </mc:Choice>
        </mc:AlternateContent>
        <mc:AlternateContent xmlns:mc="http://schemas.openxmlformats.org/markup-compatibility/2006">
          <mc:Choice Requires="x14">
            <control shapeId="26687" r:id="rId21" name="Check Box 63">
              <controlPr defaultSize="0" autoFill="0" autoLine="0" autoPict="0">
                <anchor moveWithCells="1">
                  <from>
                    <xdr:col>15</xdr:col>
                    <xdr:colOff>0</xdr:colOff>
                    <xdr:row>7</xdr:row>
                    <xdr:rowOff>190500</xdr:rowOff>
                  </from>
                  <to>
                    <xdr:col>16</xdr:col>
                    <xdr:colOff>0</xdr:colOff>
                    <xdr:row>9</xdr:row>
                    <xdr:rowOff>0</xdr:rowOff>
                  </to>
                </anchor>
              </controlPr>
            </control>
          </mc:Choice>
        </mc:AlternateContent>
        <mc:AlternateContent xmlns:mc="http://schemas.openxmlformats.org/markup-compatibility/2006">
          <mc:Choice Requires="x14">
            <control shapeId="26688" r:id="rId22" name="Check Box 64">
              <controlPr defaultSize="0" autoFill="0" autoLine="0" autoPict="0">
                <anchor moveWithCells="1">
                  <from>
                    <xdr:col>15</xdr:col>
                    <xdr:colOff>0</xdr:colOff>
                    <xdr:row>8</xdr:row>
                    <xdr:rowOff>190500</xdr:rowOff>
                  </from>
                  <to>
                    <xdr:col>16</xdr:col>
                    <xdr:colOff>0</xdr:colOff>
                    <xdr:row>10</xdr:row>
                    <xdr:rowOff>0</xdr:rowOff>
                  </to>
                </anchor>
              </controlPr>
            </control>
          </mc:Choice>
        </mc:AlternateContent>
        <mc:AlternateContent xmlns:mc="http://schemas.openxmlformats.org/markup-compatibility/2006">
          <mc:Choice Requires="x14">
            <control shapeId="26689" r:id="rId23" name="Check Box 65">
              <controlPr defaultSize="0" autoFill="0" autoLine="0" autoPict="0">
                <anchor moveWithCells="1">
                  <from>
                    <xdr:col>15</xdr:col>
                    <xdr:colOff>0</xdr:colOff>
                    <xdr:row>9</xdr:row>
                    <xdr:rowOff>190500</xdr:rowOff>
                  </from>
                  <to>
                    <xdr:col>16</xdr:col>
                    <xdr:colOff>0</xdr:colOff>
                    <xdr:row>11</xdr:row>
                    <xdr:rowOff>0</xdr:rowOff>
                  </to>
                </anchor>
              </controlPr>
            </control>
          </mc:Choice>
        </mc:AlternateContent>
        <mc:AlternateContent xmlns:mc="http://schemas.openxmlformats.org/markup-compatibility/2006">
          <mc:Choice Requires="x14">
            <control shapeId="26690" r:id="rId24" name="Button 66">
              <controlPr defaultSize="0" print="0" autoFill="0" autoPict="0" macro="[0]!clearSelectionButtonSide">
                <anchor moveWithCells="1">
                  <from>
                    <xdr:col>22</xdr:col>
                    <xdr:colOff>190500</xdr:colOff>
                    <xdr:row>3</xdr:row>
                    <xdr:rowOff>0</xdr:rowOff>
                  </from>
                  <to>
                    <xdr:col>23</xdr:col>
                    <xdr:colOff>1022350</xdr:colOff>
                    <xdr:row>5</xdr:row>
                    <xdr:rowOff>0</xdr:rowOff>
                  </to>
                </anchor>
              </controlPr>
            </control>
          </mc:Choice>
        </mc:AlternateContent>
        <mc:AlternateContent xmlns:mc="http://schemas.openxmlformats.org/markup-compatibility/2006">
          <mc:Choice Requires="x14">
            <control shapeId="26691" r:id="rId25" name="Button 67">
              <controlPr defaultSize="0" print="0" autoFill="0" autoPict="0" macro="[0]!calculateButtonSide">
                <anchor moveWithCells="1">
                  <from>
                    <xdr:col>29</xdr:col>
                    <xdr:colOff>209550</xdr:colOff>
                    <xdr:row>3</xdr:row>
                    <xdr:rowOff>38100</xdr:rowOff>
                  </from>
                  <to>
                    <xdr:col>29</xdr:col>
                    <xdr:colOff>1231900</xdr:colOff>
                    <xdr:row>5</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DD54B-9B9F-4145-BA36-E4BA0CCF9F3A}">
  <sheetPr codeName="Sheet9"/>
  <dimension ref="A1:AA49"/>
  <sheetViews>
    <sheetView topLeftCell="I13" zoomScale="83" zoomScaleNormal="83" workbookViewId="0">
      <selection activeCell="H31" sqref="H31:H48"/>
    </sheetView>
  </sheetViews>
  <sheetFormatPr defaultRowHeight="15.5" x14ac:dyDescent="0.3"/>
  <cols>
    <col min="1" max="1" width="41.19921875" style="10" bestFit="1" customWidth="1"/>
    <col min="2" max="2" width="21.8984375" style="10" bestFit="1" customWidth="1"/>
    <col min="3" max="3" width="15.3984375" style="10" bestFit="1" customWidth="1"/>
    <col min="4" max="4" width="22" style="10" bestFit="1" customWidth="1"/>
    <col min="5" max="5" width="35.69921875" style="10" bestFit="1" customWidth="1"/>
    <col min="6" max="6" width="22" style="10" bestFit="1" customWidth="1"/>
    <col min="7" max="7" width="19" style="10" bestFit="1" customWidth="1"/>
    <col min="8" max="8" width="31.5" style="10" bestFit="1" customWidth="1"/>
    <col min="9" max="9" width="21.8984375" style="10" bestFit="1" customWidth="1"/>
    <col min="10" max="10" width="12.5" style="10" bestFit="1" customWidth="1"/>
    <col min="11" max="11" width="49.09765625" style="10" bestFit="1" customWidth="1"/>
    <col min="12" max="12" width="21.8984375" style="10" bestFit="1" customWidth="1"/>
    <col min="13" max="13" width="19" style="10" bestFit="1" customWidth="1"/>
    <col min="14" max="15" width="59.296875" style="10" bestFit="1" customWidth="1"/>
    <col min="16" max="16" width="10.296875" style="10" customWidth="1"/>
    <col min="17" max="17" width="32.5" style="10" bestFit="1" customWidth="1"/>
    <col min="18" max="18" width="19.09765625" style="10" bestFit="1" customWidth="1"/>
    <col min="19" max="16384" width="8.796875" style="10"/>
  </cols>
  <sheetData>
    <row r="1" spans="1:27" x14ac:dyDescent="0.3">
      <c r="A1" s="315" t="s">
        <v>265</v>
      </c>
      <c r="B1" s="315"/>
      <c r="C1" s="315"/>
      <c r="D1" s="315"/>
      <c r="E1" s="315"/>
      <c r="F1" s="315"/>
      <c r="G1" s="315"/>
      <c r="H1" s="315"/>
      <c r="I1" s="315"/>
      <c r="J1" s="315"/>
      <c r="K1" s="315"/>
      <c r="L1" s="315"/>
      <c r="M1" s="315"/>
      <c r="N1" s="315"/>
      <c r="O1" s="315"/>
      <c r="P1" s="121"/>
      <c r="Q1" s="121"/>
      <c r="R1" s="121"/>
      <c r="S1" s="121"/>
      <c r="T1" s="121"/>
      <c r="U1"/>
      <c r="V1"/>
      <c r="W1"/>
      <c r="X1"/>
      <c r="Y1"/>
      <c r="Z1"/>
      <c r="AA1"/>
    </row>
    <row r="2" spans="1:27" x14ac:dyDescent="0.3">
      <c r="A2" s="315"/>
      <c r="B2" s="315"/>
      <c r="C2" s="315"/>
      <c r="D2" s="315"/>
      <c r="E2" s="315"/>
      <c r="F2" s="315"/>
      <c r="G2" s="315"/>
      <c r="H2" s="315"/>
      <c r="I2" s="315"/>
      <c r="J2" s="315"/>
      <c r="K2" s="315"/>
      <c r="L2" s="315"/>
      <c r="M2" s="315"/>
      <c r="N2" s="315"/>
      <c r="O2" s="315"/>
      <c r="P2" s="121"/>
      <c r="Q2" s="121"/>
      <c r="R2" s="121"/>
      <c r="S2" s="121"/>
      <c r="T2" s="121"/>
      <c r="U2"/>
      <c r="V2"/>
      <c r="W2"/>
      <c r="X2"/>
      <c r="Y2"/>
      <c r="Z2"/>
      <c r="AA2"/>
    </row>
    <row r="3" spans="1:27" x14ac:dyDescent="0.3">
      <c r="A3" s="315"/>
      <c r="B3" s="315"/>
      <c r="C3" s="315"/>
      <c r="D3" s="315"/>
      <c r="E3" s="315"/>
      <c r="F3" s="315"/>
      <c r="G3" s="315"/>
      <c r="H3" s="315"/>
      <c r="I3" s="315"/>
      <c r="J3" s="315"/>
      <c r="K3" s="315"/>
      <c r="L3" s="315"/>
      <c r="M3" s="315"/>
      <c r="N3" s="315"/>
      <c r="O3" s="315"/>
      <c r="P3" s="121"/>
      <c r="Q3" s="121"/>
      <c r="R3" s="121"/>
      <c r="S3" s="121"/>
      <c r="T3" s="121"/>
      <c r="U3"/>
      <c r="V3"/>
      <c r="W3"/>
      <c r="X3"/>
      <c r="Y3"/>
      <c r="Z3"/>
      <c r="AA3"/>
    </row>
    <row r="4" spans="1:27" ht="21" x14ac:dyDescent="0.3">
      <c r="A4" s="40"/>
      <c r="B4" s="40"/>
      <c r="C4" s="40"/>
      <c r="D4" s="40"/>
      <c r="E4" s="40"/>
      <c r="F4" s="40"/>
      <c r="G4" s="40"/>
      <c r="H4" s="40"/>
      <c r="I4" s="40"/>
      <c r="J4" s="40"/>
      <c r="K4" s="40"/>
      <c r="L4" s="40"/>
      <c r="M4" s="40"/>
      <c r="N4" s="40"/>
      <c r="O4" s="40"/>
      <c r="P4"/>
      <c r="Q4"/>
      <c r="R4"/>
      <c r="S4"/>
      <c r="T4"/>
      <c r="U4"/>
      <c r="V4"/>
      <c r="W4"/>
      <c r="X4"/>
      <c r="Y4"/>
      <c r="Z4"/>
      <c r="AA4"/>
    </row>
    <row r="5" spans="1:27" ht="21" x14ac:dyDescent="0.3">
      <c r="A5" s="42" t="s">
        <v>258</v>
      </c>
      <c r="B5" s="42" t="s">
        <v>259</v>
      </c>
      <c r="C5" s="42" t="s">
        <v>274</v>
      </c>
      <c r="D5" s="40"/>
      <c r="E5" s="42" t="s">
        <v>277</v>
      </c>
      <c r="F5" s="42" t="s">
        <v>259</v>
      </c>
      <c r="G5" s="40"/>
      <c r="H5" s="42" t="s">
        <v>264</v>
      </c>
      <c r="I5" s="42" t="s">
        <v>259</v>
      </c>
      <c r="J5" s="40"/>
      <c r="K5" s="40" t="s">
        <v>311</v>
      </c>
      <c r="L5" s="40" t="s">
        <v>259</v>
      </c>
      <c r="M5" s="40"/>
      <c r="N5" s="40" t="s">
        <v>313</v>
      </c>
      <c r="O5" s="40" t="s">
        <v>259</v>
      </c>
      <c r="P5"/>
      <c r="Q5"/>
      <c r="R5"/>
      <c r="S5"/>
      <c r="T5"/>
      <c r="U5"/>
      <c r="V5"/>
      <c r="W5"/>
      <c r="X5"/>
      <c r="Y5"/>
      <c r="Z5"/>
      <c r="AA5"/>
    </row>
    <row r="6" spans="1:27" ht="21" x14ac:dyDescent="0.3">
      <c r="A6" s="43" t="s">
        <v>199</v>
      </c>
      <c r="B6" s="43" t="b">
        <v>0</v>
      </c>
      <c r="C6" s="43" t="str">
        <f>IF(Selections!$B6, IF(AND(MATCH(Selections!$A6, 'Sandwich UI'!$E:$E, 0) &gt;= 17, MATCH(Selections!$A6, 'Sandwich UI'!$E:$E, 0) &lt;= 22), IF(ISNUMBER(VLOOKUP(Selections!$A6, 'Sandwich UI'!$E$17:$H$22, 3, FALSE)), VLOOKUP(Selections!$A6, 'Sandwich UI'!$E$17:$H$22, 3, FALSE), "Default"), "Default"), "")</f>
        <v/>
      </c>
      <c r="D6" s="40"/>
      <c r="E6" s="43" t="s">
        <v>177</v>
      </c>
      <c r="F6" s="43" t="b">
        <v>0</v>
      </c>
      <c r="G6" s="40"/>
      <c r="H6" s="43" t="s">
        <v>353</v>
      </c>
      <c r="I6" s="43" t="b">
        <v>0</v>
      </c>
      <c r="J6" s="40"/>
      <c r="K6" s="40" t="s">
        <v>133</v>
      </c>
      <c r="L6" s="40" t="b">
        <v>0</v>
      </c>
      <c r="M6" s="40"/>
      <c r="N6" s="40" t="s">
        <v>137</v>
      </c>
      <c r="O6" s="40" t="b">
        <v>1</v>
      </c>
      <c r="P6"/>
      <c r="Q6"/>
      <c r="R6"/>
      <c r="S6"/>
      <c r="T6"/>
      <c r="U6"/>
      <c r="V6"/>
      <c r="W6"/>
      <c r="X6"/>
      <c r="Y6"/>
      <c r="Z6"/>
      <c r="AA6"/>
    </row>
    <row r="7" spans="1:27" ht="21" x14ac:dyDescent="0.3">
      <c r="A7" s="44" t="s">
        <v>226</v>
      </c>
      <c r="B7" s="44" t="b">
        <v>1</v>
      </c>
      <c r="C7" s="44" t="str">
        <f>IF(Selections!$B7, IF(AND(MATCH(Selections!$A7, 'Sandwich UI'!$E:$E, 0) &gt;= 17, MATCH(Selections!$A7, 'Sandwich UI'!$E:$E, 0) &lt;= 22), IF(ISNUMBER(VLOOKUP(Selections!$A7, 'Sandwich UI'!$E$17:$H$22, 3, FALSE)), VLOOKUP(Selections!$A7, 'Sandwich UI'!$E$17:$H$22, 3, FALSE), "Default"), "Default"), "")</f>
        <v>Default</v>
      </c>
      <c r="D7" s="40"/>
      <c r="E7" s="44" t="s">
        <v>178</v>
      </c>
      <c r="F7" s="44" t="b">
        <v>0</v>
      </c>
      <c r="G7" s="40"/>
      <c r="H7" s="44" t="s">
        <v>119</v>
      </c>
      <c r="I7" s="44" t="b">
        <v>0</v>
      </c>
      <c r="J7" s="40"/>
      <c r="K7" s="40" t="s">
        <v>303</v>
      </c>
      <c r="L7" s="40" t="b">
        <v>0</v>
      </c>
      <c r="M7" s="40"/>
      <c r="N7" s="40" t="s">
        <v>138</v>
      </c>
      <c r="O7" s="40" t="b">
        <v>0</v>
      </c>
      <c r="P7"/>
      <c r="Q7"/>
      <c r="R7"/>
      <c r="S7"/>
      <c r="T7"/>
      <c r="U7"/>
      <c r="V7"/>
      <c r="W7"/>
      <c r="X7"/>
      <c r="Y7"/>
      <c r="Z7"/>
      <c r="AA7"/>
    </row>
    <row r="8" spans="1:27" ht="21" x14ac:dyDescent="0.3">
      <c r="A8" s="43" t="s">
        <v>196</v>
      </c>
      <c r="B8" s="43" t="b">
        <v>1</v>
      </c>
      <c r="C8" s="43" t="str">
        <f>IF(Selections!$B8, IF(AND(MATCH(Selections!$A8, 'Sandwich UI'!$E:$E, 0) &gt;= 17, MATCH(Selections!$A8, 'Sandwich UI'!$E:$E, 0) &lt;= 22), IF(ISNUMBER(VLOOKUP(Selections!$A8, 'Sandwich UI'!$E$17:$H$22, 3, FALSE)), VLOOKUP(Selections!$A8, 'Sandwich UI'!$E$17:$H$22, 3, FALSE), "Default"), "Default"), "")</f>
        <v>Default</v>
      </c>
      <c r="D8" s="40"/>
      <c r="E8" s="43" t="s">
        <v>179</v>
      </c>
      <c r="F8" s="43" t="b">
        <v>0</v>
      </c>
      <c r="G8" s="40"/>
      <c r="H8" s="43" t="s">
        <v>120</v>
      </c>
      <c r="I8" s="43" t="b">
        <v>0</v>
      </c>
      <c r="J8" s="40"/>
      <c r="K8" s="40" t="s">
        <v>134</v>
      </c>
      <c r="L8" s="40" t="b">
        <v>0</v>
      </c>
      <c r="M8" s="40"/>
      <c r="N8" s="40" t="s">
        <v>139</v>
      </c>
      <c r="O8" s="40" t="b">
        <v>0</v>
      </c>
      <c r="P8"/>
      <c r="Q8"/>
      <c r="R8"/>
      <c r="S8"/>
      <c r="T8"/>
      <c r="U8"/>
      <c r="V8"/>
      <c r="W8"/>
      <c r="X8"/>
      <c r="Y8"/>
      <c r="Z8"/>
      <c r="AA8"/>
    </row>
    <row r="9" spans="1:27" ht="21" x14ac:dyDescent="0.3">
      <c r="A9" s="44" t="s">
        <v>195</v>
      </c>
      <c r="B9" s="44" t="b">
        <v>1</v>
      </c>
      <c r="C9" s="44" t="str">
        <f>IF(Selections!$B9, IF(AND(MATCH(Selections!$A9, 'Sandwich UI'!$E:$E, 0) &gt;= 17, MATCH(Selections!$A9, 'Sandwich UI'!$E:$E, 0) &lt;= 22), IF(ISNUMBER(VLOOKUP(Selections!$A9, 'Sandwich UI'!$E$17:$H$22, 3, FALSE)), VLOOKUP(Selections!$A9, 'Sandwich UI'!$E$17:$H$22, 3, FALSE), "Default"), "Default"), "")</f>
        <v>Default</v>
      </c>
      <c r="D9" s="40"/>
      <c r="E9" s="44" t="s">
        <v>180</v>
      </c>
      <c r="F9" s="44" t="b">
        <v>0</v>
      </c>
      <c r="G9" s="40"/>
      <c r="H9" s="44" t="s">
        <v>121</v>
      </c>
      <c r="I9" s="44" t="b">
        <v>0</v>
      </c>
      <c r="J9" s="40"/>
      <c r="K9" s="40" t="s">
        <v>135</v>
      </c>
      <c r="L9" s="40" t="b">
        <v>0</v>
      </c>
      <c r="M9" s="40"/>
      <c r="N9" s="40"/>
      <c r="O9" s="40"/>
      <c r="P9"/>
      <c r="Q9"/>
      <c r="R9"/>
      <c r="S9"/>
      <c r="T9"/>
      <c r="U9"/>
      <c r="V9"/>
      <c r="W9"/>
      <c r="X9"/>
      <c r="Y9"/>
      <c r="Z9"/>
      <c r="AA9"/>
    </row>
    <row r="10" spans="1:27" ht="21" x14ac:dyDescent="0.3">
      <c r="A10" s="43" t="s">
        <v>253</v>
      </c>
      <c r="B10" s="43" t="b">
        <v>0</v>
      </c>
      <c r="C10" s="43" t="str">
        <f>IF(Selections!$B10, IF(AND(MATCH(Selections!$A10, 'Sandwich UI'!$E:$E, 0) &gt;= 17, MATCH(Selections!$A10, 'Sandwich UI'!$E:$E, 0) &lt;= 22), IF(ISNUMBER(VLOOKUP(Selections!$A10, 'Sandwich UI'!$E$17:$H$22, 3, FALSE)), VLOOKUP(Selections!$A10, 'Sandwich UI'!$E$17:$H$22, 3, FALSE), "Default"), "Default"), "")</f>
        <v/>
      </c>
      <c r="D10" s="40"/>
      <c r="E10" s="43" t="s">
        <v>181</v>
      </c>
      <c r="F10" s="43" t="b">
        <v>1</v>
      </c>
      <c r="G10" s="40"/>
      <c r="H10" s="43" t="s">
        <v>122</v>
      </c>
      <c r="I10" s="43" t="b">
        <v>0</v>
      </c>
      <c r="J10" s="40"/>
      <c r="K10" s="40" t="s">
        <v>136</v>
      </c>
      <c r="L10" s="40" t="b">
        <v>0</v>
      </c>
      <c r="M10" s="40"/>
      <c r="N10" s="40" t="s">
        <v>315</v>
      </c>
      <c r="O10" s="40" t="s">
        <v>259</v>
      </c>
      <c r="Q10"/>
      <c r="R10"/>
    </row>
    <row r="11" spans="1:27" ht="21" x14ac:dyDescent="0.3">
      <c r="A11" s="44" t="s">
        <v>190</v>
      </c>
      <c r="B11" s="44" t="b">
        <v>0</v>
      </c>
      <c r="C11" s="44" t="str">
        <f>IF(Selections!$B11, IF(AND(MATCH(Selections!$A11, 'Sandwich UI'!$E:$E, 0) &gt;= 17, MATCH(Selections!$A11, 'Sandwich UI'!$E:$E, 0) &lt;= 22), IF(ISNUMBER(VLOOKUP(Selections!$A11, 'Sandwich UI'!$E$17:$H$22, 3, FALSE)), VLOOKUP(Selections!$A11, 'Sandwich UI'!$E$17:$H$22, 3, FALSE), "Default"), "Default"), "")</f>
        <v/>
      </c>
      <c r="D11" s="40"/>
      <c r="E11" s="44" t="s">
        <v>182</v>
      </c>
      <c r="F11" s="44" t="b">
        <v>0</v>
      </c>
      <c r="G11" s="40"/>
      <c r="H11" s="44" t="s">
        <v>171</v>
      </c>
      <c r="I11" s="44" t="b">
        <v>0</v>
      </c>
      <c r="J11" s="40"/>
      <c r="K11" s="40"/>
      <c r="L11" s="40"/>
      <c r="M11" s="40"/>
      <c r="N11" s="40" t="s">
        <v>204</v>
      </c>
      <c r="O11" s="40" t="b">
        <v>0</v>
      </c>
      <c r="Q11"/>
      <c r="R11"/>
    </row>
    <row r="12" spans="1:27" ht="21" x14ac:dyDescent="0.3">
      <c r="A12" s="43" t="s">
        <v>221</v>
      </c>
      <c r="B12" s="43" t="b">
        <v>1</v>
      </c>
      <c r="C12" s="43" t="str">
        <f>IF(Selections!$B12, IF(AND(MATCH(Selections!$A12, 'Sandwich UI'!$E:$E, 0) &gt;= 17, MATCH(Selections!$A12, 'Sandwich UI'!$E:$E, 0) &lt;= 22), IF(ISNUMBER(VLOOKUP(Selections!$A12, 'Sandwich UI'!$E$17:$H$22, 3, FALSE)), VLOOKUP(Selections!$A12, 'Sandwich UI'!$E$17:$H$22, 3, FALSE), "Default"), "Default"), "")</f>
        <v>Default</v>
      </c>
      <c r="D12" s="40"/>
      <c r="E12" s="43" t="s">
        <v>183</v>
      </c>
      <c r="F12" s="43" t="b">
        <v>0</v>
      </c>
      <c r="G12" s="40"/>
      <c r="H12" s="43" t="s">
        <v>123</v>
      </c>
      <c r="I12" s="43" t="b">
        <v>0</v>
      </c>
      <c r="J12" s="40"/>
      <c r="K12" s="40" t="s">
        <v>312</v>
      </c>
      <c r="L12" s="40" t="s">
        <v>259</v>
      </c>
      <c r="M12" s="40"/>
      <c r="N12" s="40" t="s">
        <v>205</v>
      </c>
      <c r="O12" s="40" t="b">
        <v>0</v>
      </c>
      <c r="Q12"/>
      <c r="R12"/>
    </row>
    <row r="13" spans="1:27" ht="21" x14ac:dyDescent="0.3">
      <c r="A13" s="44" t="s">
        <v>251</v>
      </c>
      <c r="B13" s="44" t="b">
        <v>0</v>
      </c>
      <c r="C13" s="44" t="str">
        <f>IF(Selections!$B13, IF(AND(MATCH(Selections!$A13, 'Sandwich UI'!$E:$E, 0) &gt;= 17, MATCH(Selections!$A13, 'Sandwich UI'!$E:$E, 0) &lt;= 22), IF(ISNUMBER(VLOOKUP(Selections!$A13, 'Sandwich UI'!$E$17:$H$22, 3, FALSE)), VLOOKUP(Selections!$A13, 'Sandwich UI'!$E$17:$H$22, 3, FALSE), "Default"), "Default"), "")</f>
        <v/>
      </c>
      <c r="D13" s="40"/>
      <c r="E13" s="44" t="s">
        <v>184</v>
      </c>
      <c r="F13" s="44" t="b">
        <v>0</v>
      </c>
      <c r="G13" s="40"/>
      <c r="H13" s="44" t="s">
        <v>172</v>
      </c>
      <c r="I13" s="44" t="b">
        <v>0</v>
      </c>
      <c r="J13" s="40"/>
      <c r="K13" s="40" t="s">
        <v>347</v>
      </c>
      <c r="L13" s="40" t="b">
        <v>0</v>
      </c>
      <c r="M13" s="40"/>
      <c r="N13" s="40" t="s">
        <v>206</v>
      </c>
      <c r="O13" s="40" t="b">
        <v>0</v>
      </c>
      <c r="Q13"/>
      <c r="R13"/>
    </row>
    <row r="14" spans="1:27" ht="21" x14ac:dyDescent="0.3">
      <c r="A14" s="43" t="s">
        <v>222</v>
      </c>
      <c r="B14" s="43" t="b">
        <v>0</v>
      </c>
      <c r="C14" s="43" t="str">
        <f>IF(Selections!$B14, IF(AND(MATCH(Selections!$A14, 'Sandwich UI'!$E:$E, 0) &gt;= 17, MATCH(Selections!$A14, 'Sandwich UI'!$E:$E, 0) &lt;= 22), IF(ISNUMBER(VLOOKUP(Selections!$A14, 'Sandwich UI'!$E$17:$H$22, 3, FALSE)), VLOOKUP(Selections!$A14, 'Sandwich UI'!$E$17:$H$22, 3, FALSE), "Default"), "Default"), "")</f>
        <v/>
      </c>
      <c r="D14" s="40"/>
      <c r="E14" s="43" t="s">
        <v>185</v>
      </c>
      <c r="F14" s="43" t="b">
        <v>0</v>
      </c>
      <c r="G14" s="40"/>
      <c r="H14" s="43" t="s">
        <v>173</v>
      </c>
      <c r="I14" s="43" t="b">
        <v>0</v>
      </c>
      <c r="J14" s="40"/>
      <c r="K14" s="40" t="s">
        <v>348</v>
      </c>
      <c r="L14" s="40" t="b">
        <v>0</v>
      </c>
      <c r="M14" s="40"/>
      <c r="N14" s="40"/>
      <c r="O14" s="40"/>
      <c r="Q14"/>
      <c r="R14"/>
    </row>
    <row r="15" spans="1:27" ht="21" x14ac:dyDescent="0.3">
      <c r="A15" s="44" t="s">
        <v>223</v>
      </c>
      <c r="B15" s="44" t="b">
        <v>0</v>
      </c>
      <c r="C15" s="44" t="str">
        <f>IF(Selections!$B15, IF(AND(MATCH(Selections!$A15, 'Sandwich UI'!$E:$E, 0) &gt;= 17, MATCH(Selections!$A15, 'Sandwich UI'!$E:$E, 0) &lt;= 22), IF(ISNUMBER(VLOOKUP(Selections!$A15, 'Sandwich UI'!$E$17:$H$22, 3, FALSE)), VLOOKUP(Selections!$A15, 'Sandwich UI'!$E$17:$H$22, 3, FALSE), "Default"), "Default"), "")</f>
        <v/>
      </c>
      <c r="D15" s="40"/>
      <c r="E15" s="44" t="s">
        <v>186</v>
      </c>
      <c r="F15" s="44" t="b">
        <v>0</v>
      </c>
      <c r="G15" s="40"/>
      <c r="H15" s="44" t="s">
        <v>174</v>
      </c>
      <c r="I15" s="44" t="b">
        <v>0</v>
      </c>
      <c r="J15" s="40"/>
      <c r="K15" s="40" t="s">
        <v>349</v>
      </c>
      <c r="L15" s="40" t="b">
        <v>0</v>
      </c>
      <c r="M15" s="40"/>
      <c r="N15" s="40" t="s">
        <v>314</v>
      </c>
      <c r="O15" s="40" t="s">
        <v>259</v>
      </c>
      <c r="Q15"/>
      <c r="R15"/>
    </row>
    <row r="16" spans="1:27" ht="21" x14ac:dyDescent="0.3">
      <c r="A16" s="43" t="s">
        <v>224</v>
      </c>
      <c r="B16" s="43" t="b">
        <v>0</v>
      </c>
      <c r="C16" s="43" t="str">
        <f>IF(Selections!$B16, IF(AND(MATCH(Selections!$A16, 'Sandwich UI'!$E:$E, 0) &gt;= 17, MATCH(Selections!$A16, 'Sandwich UI'!$E:$E, 0) &lt;= 22), IF(ISNUMBER(VLOOKUP(Selections!$A16, 'Sandwich UI'!$E$17:$H$22, 3, FALSE)), VLOOKUP(Selections!$A16, 'Sandwich UI'!$E$17:$H$22, 3, FALSE), "Default"), "Default"), "")</f>
        <v/>
      </c>
      <c r="D16" s="40"/>
      <c r="E16" s="43" t="s">
        <v>187</v>
      </c>
      <c r="F16" s="43" t="b">
        <v>0</v>
      </c>
      <c r="G16" s="40"/>
      <c r="H16" s="43" t="s">
        <v>125</v>
      </c>
      <c r="I16" s="43" t="b">
        <v>0</v>
      </c>
      <c r="J16" s="40"/>
      <c r="K16" s="40" t="s">
        <v>350</v>
      </c>
      <c r="L16" s="40" t="b">
        <v>0</v>
      </c>
      <c r="M16" s="40"/>
      <c r="N16" s="40" t="s">
        <v>365</v>
      </c>
      <c r="O16" s="40" t="b">
        <v>1</v>
      </c>
      <c r="Q16"/>
      <c r="R16"/>
    </row>
    <row r="17" spans="1:15" ht="21" x14ac:dyDescent="0.3">
      <c r="A17" s="44" t="s">
        <v>225</v>
      </c>
      <c r="B17" s="44" t="b">
        <v>0</v>
      </c>
      <c r="C17" s="44" t="str">
        <f>IF(Selections!$B17, IF(AND(MATCH(Selections!$A17, 'Sandwich UI'!$E:$E, 0) &gt;= 17, MATCH(Selections!$A17, 'Sandwich UI'!$E:$E, 0) &lt;= 22), IF(ISNUMBER(VLOOKUP(Selections!$A17, 'Sandwich UI'!$E$17:$H$22, 3, FALSE)), VLOOKUP(Selections!$A17, 'Sandwich UI'!$E$17:$H$22, 3, FALSE), "Default"), "Default"), "")</f>
        <v/>
      </c>
      <c r="D17" s="40"/>
      <c r="E17" s="44" t="s">
        <v>188</v>
      </c>
      <c r="F17" s="44" t="b">
        <v>0</v>
      </c>
      <c r="G17" s="40"/>
      <c r="H17" s="44" t="s">
        <v>175</v>
      </c>
      <c r="I17" s="44" t="b">
        <v>0</v>
      </c>
      <c r="J17" s="40"/>
      <c r="K17" s="40" t="s">
        <v>351</v>
      </c>
      <c r="L17" s="40" t="b">
        <v>0</v>
      </c>
      <c r="M17" s="40"/>
      <c r="N17" s="40" t="s">
        <v>366</v>
      </c>
      <c r="O17" s="40" t="b">
        <v>0</v>
      </c>
    </row>
    <row r="18" spans="1:15" ht="21" x14ac:dyDescent="0.3">
      <c r="A18" s="43" t="s">
        <v>192</v>
      </c>
      <c r="B18" s="43" t="b">
        <v>0</v>
      </c>
      <c r="C18" s="43" t="str">
        <f>IF(Selections!$B18, IF(AND(MATCH(Selections!$A18, 'Sandwich UI'!$E:$E, 0) &gt;= 17, MATCH(Selections!$A18, 'Sandwich UI'!$E:$E, 0) &lt;= 22), IF(ISNUMBER(VLOOKUP(Selections!$A18, 'Sandwich UI'!$E$17:$H$22, 3, FALSE)), VLOOKUP(Selections!$A18, 'Sandwich UI'!$E$17:$H$22, 3, FALSE), "Default"), "Default"), "")</f>
        <v/>
      </c>
      <c r="D18" s="40"/>
      <c r="E18" s="40"/>
      <c r="F18" s="40"/>
      <c r="G18" s="40"/>
      <c r="H18" s="43" t="s">
        <v>126</v>
      </c>
      <c r="I18" s="43" t="b">
        <v>0</v>
      </c>
      <c r="J18" s="40"/>
      <c r="K18" s="40" t="s">
        <v>352</v>
      </c>
      <c r="L18" s="40" t="b">
        <v>0</v>
      </c>
      <c r="M18" s="40"/>
      <c r="N18" s="40" t="s">
        <v>367</v>
      </c>
      <c r="O18" s="40" t="b">
        <v>0</v>
      </c>
    </row>
    <row r="19" spans="1:15" ht="21" x14ac:dyDescent="0.3">
      <c r="A19" s="40"/>
      <c r="B19" s="40"/>
      <c r="C19" s="40"/>
      <c r="D19" s="40"/>
      <c r="E19" s="40"/>
      <c r="F19" s="40"/>
      <c r="G19" s="40"/>
      <c r="H19" s="44" t="s">
        <v>176</v>
      </c>
      <c r="I19" s="44" t="b">
        <v>0</v>
      </c>
      <c r="J19" s="40"/>
      <c r="K19" s="40"/>
      <c r="L19" s="40"/>
      <c r="M19" s="40"/>
      <c r="N19" s="40"/>
      <c r="O19" s="40"/>
    </row>
    <row r="20" spans="1:15" ht="21" x14ac:dyDescent="0.3">
      <c r="A20" s="42" t="s">
        <v>260</v>
      </c>
      <c r="B20" s="42" t="s">
        <v>259</v>
      </c>
      <c r="C20" s="42" t="s">
        <v>274</v>
      </c>
      <c r="D20" s="40"/>
      <c r="E20" s="40"/>
      <c r="F20" s="40"/>
      <c r="G20" s="40"/>
      <c r="H20" s="43" t="s">
        <v>127</v>
      </c>
      <c r="I20" s="43" t="b">
        <v>0</v>
      </c>
      <c r="J20" s="40"/>
      <c r="K20" s="40"/>
      <c r="L20" s="40"/>
      <c r="M20" s="40"/>
      <c r="N20" s="40"/>
      <c r="O20" s="40"/>
    </row>
    <row r="21" spans="1:15" ht="21" x14ac:dyDescent="0.3">
      <c r="A21" s="43" t="s">
        <v>238</v>
      </c>
      <c r="B21" s="43" t="b">
        <v>0</v>
      </c>
      <c r="C21" s="43" t="str">
        <f>IF(ISNUMBER(VLOOKUP(Selections!$A21, 'Sandwich UI'!$E$27:$H$29, 3, FALSE)), VLOOKUP(Selections!$A21, 'Sandwich UI'!$E$27:$H$29, 3, FALSE), "Default")</f>
        <v>Default</v>
      </c>
      <c r="D21" s="40"/>
      <c r="E21" s="42" t="s">
        <v>300</v>
      </c>
      <c r="F21" s="42" t="s">
        <v>259</v>
      </c>
      <c r="G21" s="40"/>
      <c r="H21" s="44" t="s">
        <v>345</v>
      </c>
      <c r="I21" s="44" t="b">
        <v>0</v>
      </c>
      <c r="J21" s="40"/>
      <c r="K21" s="40"/>
      <c r="L21" s="40"/>
      <c r="M21" s="40"/>
      <c r="N21" s="40"/>
      <c r="O21" s="40"/>
    </row>
    <row r="22" spans="1:15" ht="21" x14ac:dyDescent="0.3">
      <c r="A22" s="44" t="s">
        <v>189</v>
      </c>
      <c r="B22" s="44" t="b">
        <v>0</v>
      </c>
      <c r="C22" s="44" t="str">
        <f>IF(ISNUMBER(VLOOKUP(Selections!$A22, 'Sandwich UI'!$E$27:$H$29, 3, FALSE)), VLOOKUP(Selections!$A22, 'Sandwich UI'!$E$27:$H$29, 3, FALSE), "Default")</f>
        <v>Default</v>
      </c>
      <c r="D22" s="40"/>
      <c r="E22" s="43" t="s">
        <v>201</v>
      </c>
      <c r="F22" s="43" t="b">
        <v>0</v>
      </c>
      <c r="G22" s="40"/>
      <c r="H22" s="43" t="s">
        <v>129</v>
      </c>
      <c r="I22" s="43" t="b">
        <v>0</v>
      </c>
      <c r="J22" s="40"/>
      <c r="K22" s="40"/>
      <c r="L22" s="40"/>
      <c r="M22" s="40"/>
      <c r="N22" s="40"/>
      <c r="O22" s="40"/>
    </row>
    <row r="23" spans="1:15" ht="21" x14ac:dyDescent="0.3">
      <c r="A23" s="43" t="s">
        <v>239</v>
      </c>
      <c r="B23" s="43" t="b">
        <v>1</v>
      </c>
      <c r="C23" s="43" t="str">
        <f>IF(ISNUMBER(VLOOKUP(Selections!$A23, 'Sandwich UI'!$E$27:$H$29, 3, FALSE)), VLOOKUP(Selections!$A23, 'Sandwich UI'!$E$27:$H$29, 3, FALSE), "Default")</f>
        <v>Default</v>
      </c>
      <c r="D23" s="40"/>
      <c r="E23" s="44" t="s">
        <v>202</v>
      </c>
      <c r="F23" s="44" t="b">
        <v>0</v>
      </c>
      <c r="G23" s="40"/>
      <c r="H23" s="44" t="s">
        <v>131</v>
      </c>
      <c r="I23" s="44" t="b">
        <v>0</v>
      </c>
      <c r="J23" s="40"/>
      <c r="K23" s="40"/>
      <c r="L23" s="40"/>
      <c r="M23" s="40"/>
      <c r="N23" s="40"/>
      <c r="O23" s="40"/>
    </row>
    <row r="26" spans="1:15" x14ac:dyDescent="0.3">
      <c r="A26" s="316" t="s">
        <v>267</v>
      </c>
      <c r="B26" s="316"/>
      <c r="C26" s="316"/>
      <c r="D26" s="316"/>
      <c r="E26" s="316"/>
      <c r="F26" s="316"/>
      <c r="G26" s="316"/>
      <c r="H26" s="316"/>
      <c r="I26" s="316"/>
      <c r="J26" s="316"/>
      <c r="K26" s="316"/>
      <c r="L26" s="316"/>
      <c r="M26" s="316"/>
      <c r="N26" s="316"/>
      <c r="O26" s="316"/>
    </row>
    <row r="27" spans="1:15" x14ac:dyDescent="0.3">
      <c r="A27" s="316"/>
      <c r="B27" s="316"/>
      <c r="C27" s="316"/>
      <c r="D27" s="316"/>
      <c r="E27" s="316"/>
      <c r="F27" s="316"/>
      <c r="G27" s="316"/>
      <c r="H27" s="316"/>
      <c r="I27" s="316"/>
      <c r="J27" s="316"/>
      <c r="K27" s="316"/>
      <c r="L27" s="316"/>
      <c r="M27" s="316"/>
      <c r="N27" s="316"/>
      <c r="O27" s="316"/>
    </row>
    <row r="28" spans="1:15" x14ac:dyDescent="0.3">
      <c r="A28" s="316"/>
      <c r="B28" s="316"/>
      <c r="C28" s="316"/>
      <c r="D28" s="316"/>
      <c r="E28" s="316"/>
      <c r="F28" s="316"/>
      <c r="G28" s="316"/>
      <c r="H28" s="316"/>
      <c r="I28" s="316"/>
      <c r="J28" s="316"/>
      <c r="K28" s="316"/>
      <c r="L28" s="316"/>
      <c r="M28" s="316"/>
      <c r="N28" s="316"/>
      <c r="O28" s="316"/>
    </row>
    <row r="30" spans="1:15" ht="21" x14ac:dyDescent="0.3">
      <c r="A30" s="40"/>
      <c r="B30" s="45" t="s">
        <v>298</v>
      </c>
      <c r="C30" s="40"/>
      <c r="D30" s="45" t="s">
        <v>213</v>
      </c>
      <c r="E30" s="45" t="s">
        <v>237</v>
      </c>
      <c r="F30" s="45" t="s">
        <v>297</v>
      </c>
      <c r="G30" s="45" t="s">
        <v>240</v>
      </c>
      <c r="H30" s="45" t="s">
        <v>278</v>
      </c>
      <c r="I30" s="40"/>
      <c r="J30" s="46"/>
      <c r="K30" s="45" t="s">
        <v>151</v>
      </c>
      <c r="L30" s="45" t="s">
        <v>150</v>
      </c>
      <c r="M30" s="45" t="s">
        <v>309</v>
      </c>
      <c r="N30" s="45" t="s">
        <v>203</v>
      </c>
      <c r="O30" s="45" t="s">
        <v>310</v>
      </c>
    </row>
    <row r="31" spans="1:15" ht="21" x14ac:dyDescent="0.3">
      <c r="A31" s="40"/>
      <c r="B31" s="47"/>
      <c r="C31" s="40"/>
      <c r="D31" s="122" t="s">
        <v>226</v>
      </c>
      <c r="E31" s="122" t="s">
        <v>239</v>
      </c>
      <c r="F31" s="122" t="s">
        <v>299</v>
      </c>
      <c r="G31" s="122" t="s">
        <v>299</v>
      </c>
      <c r="H31" s="122" t="s">
        <v>181</v>
      </c>
      <c r="I31" s="40"/>
      <c r="J31" s="46"/>
      <c r="K31" s="47" t="s">
        <v>299</v>
      </c>
      <c r="L31" s="47" t="s">
        <v>299</v>
      </c>
      <c r="M31" s="47" t="s">
        <v>137</v>
      </c>
      <c r="N31" s="47" t="s">
        <v>299</v>
      </c>
      <c r="O31" s="47" t="s">
        <v>365</v>
      </c>
    </row>
    <row r="32" spans="1:15" ht="21" x14ac:dyDescent="0.3">
      <c r="A32" s="40"/>
      <c r="B32" s="47"/>
      <c r="C32" s="40"/>
      <c r="D32" s="122" t="s">
        <v>196</v>
      </c>
      <c r="E32" s="122"/>
      <c r="F32" s="122"/>
      <c r="G32" s="122"/>
      <c r="H32" s="122"/>
      <c r="I32" s="40"/>
      <c r="J32" s="46"/>
      <c r="K32" s="47"/>
      <c r="L32" s="47"/>
      <c r="M32" s="47"/>
      <c r="N32" s="47"/>
      <c r="O32" s="47"/>
    </row>
    <row r="33" spans="1:15" ht="21" x14ac:dyDescent="0.3">
      <c r="A33" s="40"/>
      <c r="B33" s="47"/>
      <c r="C33" s="40"/>
      <c r="D33" s="122" t="s">
        <v>195</v>
      </c>
      <c r="E33" s="122"/>
      <c r="F33" s="181"/>
      <c r="G33" s="122"/>
      <c r="H33" s="122"/>
      <c r="I33" s="40"/>
      <c r="J33" s="46"/>
      <c r="K33" s="47"/>
      <c r="L33" s="47"/>
      <c r="M33" s="47"/>
      <c r="N33" s="47"/>
      <c r="O33" s="47"/>
    </row>
    <row r="34" spans="1:15" ht="21" x14ac:dyDescent="0.3">
      <c r="A34" s="40"/>
      <c r="B34" s="47"/>
      <c r="C34" s="40"/>
      <c r="D34" s="122" t="s">
        <v>221</v>
      </c>
      <c r="E34" s="181"/>
      <c r="F34" s="181"/>
      <c r="G34" s="122"/>
      <c r="H34" s="122"/>
      <c r="I34" s="40"/>
      <c r="J34" s="46"/>
      <c r="K34" s="47"/>
      <c r="L34" s="47"/>
      <c r="M34" s="40"/>
      <c r="N34" s="40"/>
      <c r="O34" s="40"/>
    </row>
    <row r="35" spans="1:15" ht="21" x14ac:dyDescent="0.3">
      <c r="A35" s="40"/>
      <c r="B35" s="47"/>
      <c r="C35" s="40"/>
      <c r="D35" s="122"/>
      <c r="E35" s="181"/>
      <c r="F35" s="181"/>
      <c r="G35" s="122"/>
      <c r="H35" s="122"/>
      <c r="I35" s="40"/>
      <c r="J35" s="46"/>
      <c r="K35" s="47"/>
      <c r="L35" s="47"/>
      <c r="M35" s="40"/>
      <c r="N35" s="40"/>
      <c r="O35" s="40"/>
    </row>
    <row r="36" spans="1:15" ht="21" x14ac:dyDescent="0.3">
      <c r="A36" s="40"/>
      <c r="B36" s="47"/>
      <c r="C36" s="40"/>
      <c r="D36" s="122"/>
      <c r="E36" s="181"/>
      <c r="F36" s="181"/>
      <c r="G36" s="122"/>
      <c r="H36" s="122"/>
      <c r="I36" s="40"/>
      <c r="J36" s="46"/>
      <c r="K36" s="40"/>
      <c r="L36" s="47"/>
      <c r="M36" s="40"/>
      <c r="N36" s="40"/>
      <c r="O36" s="40"/>
    </row>
    <row r="37" spans="1:15" ht="21" x14ac:dyDescent="0.3">
      <c r="A37" s="40"/>
      <c r="B37" s="47"/>
      <c r="C37" s="40"/>
      <c r="D37" s="122"/>
      <c r="E37" s="181"/>
      <c r="F37" s="181"/>
      <c r="G37" s="122"/>
      <c r="H37" s="122"/>
      <c r="I37" s="40"/>
      <c r="J37" s="46"/>
      <c r="K37" s="40"/>
      <c r="L37" s="40"/>
      <c r="M37" s="40"/>
      <c r="N37" s="40"/>
      <c r="O37" s="40"/>
    </row>
    <row r="38" spans="1:15" ht="21" x14ac:dyDescent="0.3">
      <c r="A38" s="40"/>
      <c r="B38" s="47"/>
      <c r="C38" s="40"/>
      <c r="D38" s="122"/>
      <c r="E38" s="181"/>
      <c r="F38" s="181"/>
      <c r="G38" s="122"/>
      <c r="H38" s="122"/>
      <c r="I38" s="40"/>
      <c r="J38" s="46"/>
      <c r="K38" s="40"/>
      <c r="L38" s="40"/>
      <c r="M38" s="40"/>
      <c r="N38" s="40"/>
      <c r="O38" s="40"/>
    </row>
    <row r="39" spans="1:15" ht="21" x14ac:dyDescent="0.3">
      <c r="A39" s="40"/>
      <c r="B39" s="47"/>
      <c r="C39" s="40"/>
      <c r="D39" s="122"/>
      <c r="E39" s="181"/>
      <c r="F39" s="181"/>
      <c r="G39" s="122"/>
      <c r="H39" s="122"/>
      <c r="I39" s="40"/>
      <c r="J39" s="46"/>
      <c r="K39" s="40"/>
      <c r="L39" s="40"/>
      <c r="M39" s="40"/>
      <c r="N39" s="40"/>
      <c r="O39" s="40"/>
    </row>
    <row r="40" spans="1:15" ht="21" x14ac:dyDescent="0.3">
      <c r="A40" s="40"/>
      <c r="B40" s="47"/>
      <c r="C40" s="40"/>
      <c r="D40" s="122"/>
      <c r="E40" s="181"/>
      <c r="F40" s="181"/>
      <c r="G40" s="122"/>
      <c r="H40" s="122"/>
      <c r="I40" s="40"/>
      <c r="J40" s="46"/>
      <c r="K40" s="40"/>
      <c r="L40" s="40"/>
      <c r="M40" s="40"/>
      <c r="N40" s="40"/>
      <c r="O40" s="40"/>
    </row>
    <row r="41" spans="1:15" ht="21" x14ac:dyDescent="0.3">
      <c r="A41" s="40"/>
      <c r="B41" s="47"/>
      <c r="C41" s="40"/>
      <c r="D41" s="122"/>
      <c r="E41" s="181"/>
      <c r="F41" s="181"/>
      <c r="G41" s="122"/>
      <c r="H41" s="122"/>
      <c r="I41" s="40"/>
      <c r="J41" s="46"/>
      <c r="K41" s="40"/>
      <c r="L41" s="40"/>
      <c r="M41" s="40"/>
      <c r="N41" s="40"/>
      <c r="O41" s="40"/>
    </row>
    <row r="42" spans="1:15" ht="21" x14ac:dyDescent="0.3">
      <c r="A42" s="40"/>
      <c r="B42" s="47"/>
      <c r="C42" s="40"/>
      <c r="D42" s="122"/>
      <c r="E42" s="181"/>
      <c r="F42" s="181"/>
      <c r="G42" s="122"/>
      <c r="H42" s="122"/>
      <c r="I42" s="40"/>
      <c r="J42" s="46"/>
      <c r="K42" s="40"/>
      <c r="L42" s="40"/>
      <c r="M42" s="40"/>
      <c r="N42" s="40"/>
      <c r="O42" s="40"/>
    </row>
    <row r="43" spans="1:15" ht="21" x14ac:dyDescent="0.3">
      <c r="A43" s="40"/>
      <c r="B43" s="47"/>
      <c r="C43" s="40"/>
      <c r="D43" s="122"/>
      <c r="E43" s="181"/>
      <c r="F43" s="181"/>
      <c r="G43" s="122"/>
      <c r="H43" s="181"/>
      <c r="I43" s="40"/>
      <c r="J43" s="46"/>
      <c r="K43" s="40"/>
      <c r="L43" s="40"/>
      <c r="M43" s="40"/>
      <c r="N43" s="40"/>
      <c r="O43" s="40"/>
    </row>
    <row r="44" spans="1:15" ht="21" x14ac:dyDescent="0.3">
      <c r="A44" s="40"/>
      <c r="B44" s="47"/>
      <c r="C44" s="40"/>
      <c r="D44" s="181"/>
      <c r="E44" s="181"/>
      <c r="F44" s="181"/>
      <c r="G44" s="122"/>
      <c r="H44" s="181"/>
      <c r="I44" s="40"/>
      <c r="J44" s="46"/>
      <c r="K44" s="40"/>
      <c r="L44" s="40"/>
      <c r="M44" s="40"/>
      <c r="N44" s="40"/>
      <c r="O44" s="40"/>
    </row>
    <row r="45" spans="1:15" ht="21" x14ac:dyDescent="0.3">
      <c r="A45" s="40"/>
      <c r="B45" s="47"/>
      <c r="C45" s="40"/>
      <c r="D45" s="181"/>
      <c r="E45" s="181"/>
      <c r="F45" s="181"/>
      <c r="G45" s="122"/>
      <c r="H45" s="181"/>
      <c r="I45" s="40"/>
      <c r="J45" s="46"/>
      <c r="K45" s="40"/>
      <c r="L45" s="40"/>
      <c r="M45" s="40"/>
      <c r="N45" s="40"/>
      <c r="O45" s="40"/>
    </row>
    <row r="46" spans="1:15" ht="21" x14ac:dyDescent="0.3">
      <c r="A46" s="40"/>
      <c r="B46" s="47"/>
      <c r="C46" s="40"/>
      <c r="D46" s="181"/>
      <c r="E46" s="181"/>
      <c r="F46" s="181"/>
      <c r="G46" s="122"/>
      <c r="H46" s="181"/>
      <c r="I46" s="40"/>
      <c r="J46" s="46"/>
      <c r="K46" s="40"/>
      <c r="L46" s="40"/>
      <c r="M46" s="40"/>
      <c r="N46" s="40"/>
      <c r="O46" s="40"/>
    </row>
    <row r="47" spans="1:15" ht="21" x14ac:dyDescent="0.3">
      <c r="A47" s="40"/>
      <c r="B47" s="47"/>
      <c r="C47" s="40"/>
      <c r="D47" s="181"/>
      <c r="E47" s="181"/>
      <c r="F47" s="181"/>
      <c r="G47" s="122"/>
      <c r="H47" s="181"/>
      <c r="I47" s="40"/>
      <c r="J47" s="46"/>
      <c r="K47" s="40"/>
      <c r="L47" s="40"/>
      <c r="M47" s="40"/>
      <c r="N47" s="40"/>
      <c r="O47" s="40"/>
    </row>
    <row r="48" spans="1:15" ht="21" x14ac:dyDescent="0.3">
      <c r="A48" s="40"/>
      <c r="B48" s="47"/>
      <c r="C48" s="40"/>
      <c r="D48" s="181"/>
      <c r="E48" s="181"/>
      <c r="F48" s="181"/>
      <c r="G48" s="122"/>
      <c r="H48" s="181"/>
      <c r="I48" s="40"/>
      <c r="J48" s="46"/>
      <c r="K48" s="40"/>
      <c r="L48" s="40"/>
      <c r="M48" s="40"/>
      <c r="N48" s="40"/>
      <c r="O48" s="40"/>
    </row>
    <row r="49" spans="1:15" ht="21" x14ac:dyDescent="0.3">
      <c r="A49" s="40"/>
      <c r="B49" s="40"/>
      <c r="C49" s="40"/>
      <c r="D49" s="40"/>
      <c r="E49" s="40"/>
      <c r="F49" s="40"/>
      <c r="G49" s="40"/>
      <c r="H49" s="40"/>
      <c r="I49" s="40"/>
      <c r="J49" s="40"/>
      <c r="K49" s="40"/>
      <c r="L49" s="40"/>
      <c r="M49" s="40"/>
      <c r="N49" s="40"/>
      <c r="O49" s="40"/>
    </row>
  </sheetData>
  <mergeCells count="2">
    <mergeCell ref="A1:O3"/>
    <mergeCell ref="A26:O28"/>
  </mergeCells>
  <pageMargins left="0.7" right="0.7" top="0.75" bottom="0.75" header="0.3" footer="0.3"/>
  <pageSetup paperSize="9" orientation="portrait" horizontalDpi="300" verticalDpi="300"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5EBD7-277C-4499-AB63-0EAEE4B5852E}">
  <sheetPr codeName="Sheet11"/>
  <dimension ref="A1:O61"/>
  <sheetViews>
    <sheetView zoomScale="81" zoomScaleNormal="130" workbookViewId="0">
      <selection activeCell="D13" sqref="D13"/>
    </sheetView>
  </sheetViews>
  <sheetFormatPr defaultRowHeight="15.5" x14ac:dyDescent="0.3"/>
  <cols>
    <col min="1" max="1" width="29.59765625" style="10" bestFit="1" customWidth="1"/>
    <col min="2" max="2" width="17.3984375" style="10" bestFit="1" customWidth="1"/>
    <col min="3" max="3" width="16.796875" style="10" bestFit="1" customWidth="1"/>
    <col min="4" max="4" width="18.69921875" style="10" bestFit="1" customWidth="1"/>
    <col min="5" max="5" width="15" style="10" bestFit="1" customWidth="1"/>
    <col min="6" max="6" width="16.19921875" style="10" bestFit="1" customWidth="1"/>
    <col min="7" max="7" width="13.8984375" style="10" bestFit="1" customWidth="1"/>
    <col min="8" max="8" width="15.8984375" style="10" bestFit="1" customWidth="1"/>
    <col min="9" max="9" width="13.796875" style="10" bestFit="1" customWidth="1"/>
    <col min="10" max="10" width="21.3984375" style="10" bestFit="1" customWidth="1"/>
    <col min="11" max="11" width="13.09765625" style="10" bestFit="1" customWidth="1"/>
    <col min="12" max="12" width="19.69921875" style="10" bestFit="1" customWidth="1"/>
    <col min="13" max="13" width="16.09765625" style="10" bestFit="1" customWidth="1"/>
    <col min="14" max="16384" width="8.796875" style="10"/>
  </cols>
  <sheetData>
    <row r="1" spans="1:15" x14ac:dyDescent="0.3">
      <c r="A1" s="10" t="s">
        <v>322</v>
      </c>
      <c r="B1" s="10" t="s">
        <v>227</v>
      </c>
      <c r="C1" s="10" t="s">
        <v>228</v>
      </c>
      <c r="D1" s="10" t="s">
        <v>140</v>
      </c>
      <c r="E1" s="10" t="s">
        <v>141</v>
      </c>
      <c r="F1" s="10" t="s">
        <v>142</v>
      </c>
      <c r="G1" s="10" t="s">
        <v>143</v>
      </c>
      <c r="H1" s="10" t="s">
        <v>144</v>
      </c>
      <c r="I1" s="10" t="s">
        <v>145</v>
      </c>
      <c r="J1" s="10" t="s">
        <v>146</v>
      </c>
      <c r="K1" s="10" t="s">
        <v>147</v>
      </c>
      <c r="L1" s="10" t="s">
        <v>148</v>
      </c>
      <c r="M1" s="10" t="s">
        <v>149</v>
      </c>
      <c r="N1"/>
      <c r="O1"/>
    </row>
    <row r="2" spans="1:15" x14ac:dyDescent="0.3">
      <c r="A2" s="10" t="s">
        <v>199</v>
      </c>
      <c r="B2" s="10" t="s">
        <v>271</v>
      </c>
      <c r="C2" s="10" t="s">
        <v>271</v>
      </c>
      <c r="D2" s="21">
        <v>7</v>
      </c>
      <c r="E2" s="21">
        <v>6.4</v>
      </c>
      <c r="F2" s="21">
        <v>1.5</v>
      </c>
      <c r="G2" s="21">
        <v>0.2</v>
      </c>
      <c r="H2" s="21">
        <v>0</v>
      </c>
      <c r="I2" s="21">
        <v>0</v>
      </c>
      <c r="J2" s="21">
        <v>0.2</v>
      </c>
      <c r="K2" s="21">
        <v>0</v>
      </c>
      <c r="L2" s="21">
        <v>0.2</v>
      </c>
      <c r="M2" s="21">
        <v>5.5</v>
      </c>
    </row>
    <row r="3" spans="1:15" x14ac:dyDescent="0.3">
      <c r="A3" s="10" t="s">
        <v>226</v>
      </c>
      <c r="B3" s="10" t="s">
        <v>271</v>
      </c>
      <c r="C3" s="10" t="s">
        <v>271</v>
      </c>
      <c r="D3" s="21">
        <v>20</v>
      </c>
      <c r="E3" s="21">
        <v>50.2</v>
      </c>
      <c r="F3" s="21">
        <v>12</v>
      </c>
      <c r="G3" s="21">
        <v>0.1</v>
      </c>
      <c r="H3" s="21">
        <v>0</v>
      </c>
      <c r="I3" s="21">
        <v>0</v>
      </c>
      <c r="J3" s="21">
        <v>3.6</v>
      </c>
      <c r="K3" s="21">
        <v>3.2</v>
      </c>
      <c r="L3" s="21">
        <v>0.2</v>
      </c>
      <c r="M3" s="21">
        <v>1.5</v>
      </c>
    </row>
    <row r="4" spans="1:15" x14ac:dyDescent="0.3">
      <c r="A4" s="10" t="s">
        <v>196</v>
      </c>
      <c r="B4" s="10" t="s">
        <v>271</v>
      </c>
      <c r="C4" s="10" t="s">
        <v>271</v>
      </c>
      <c r="D4" s="21">
        <v>7</v>
      </c>
      <c r="E4" s="21">
        <v>11.7</v>
      </c>
      <c r="F4" s="21">
        <v>2.8</v>
      </c>
      <c r="G4" s="21">
        <v>0.1</v>
      </c>
      <c r="H4" s="21">
        <v>0</v>
      </c>
      <c r="I4" s="21">
        <v>0</v>
      </c>
      <c r="J4" s="21">
        <v>0.5</v>
      </c>
      <c r="K4" s="21">
        <v>0.3</v>
      </c>
      <c r="L4" s="21">
        <v>0.1</v>
      </c>
      <c r="M4" s="21">
        <v>0.3</v>
      </c>
    </row>
    <row r="5" spans="1:15" x14ac:dyDescent="0.3">
      <c r="A5" s="10" t="s">
        <v>195</v>
      </c>
      <c r="B5" s="10" t="s">
        <v>271</v>
      </c>
      <c r="C5" s="10" t="s">
        <v>271</v>
      </c>
      <c r="D5" s="21">
        <v>21</v>
      </c>
      <c r="E5" s="21">
        <v>12.3</v>
      </c>
      <c r="F5" s="21">
        <v>2.9</v>
      </c>
      <c r="G5" s="21">
        <v>0.2</v>
      </c>
      <c r="H5" s="21">
        <v>0</v>
      </c>
      <c r="I5" s="21">
        <v>0</v>
      </c>
      <c r="J5" s="21">
        <v>0.4</v>
      </c>
      <c r="K5" s="21">
        <v>0.4</v>
      </c>
      <c r="L5" s="21">
        <v>0.3</v>
      </c>
      <c r="M5" s="21">
        <v>2.1</v>
      </c>
    </row>
    <row r="6" spans="1:15" x14ac:dyDescent="0.3">
      <c r="A6" s="10" t="s">
        <v>253</v>
      </c>
      <c r="B6" s="10" t="s">
        <v>271</v>
      </c>
      <c r="C6" s="10" t="s">
        <v>271</v>
      </c>
      <c r="D6" s="21">
        <v>21</v>
      </c>
      <c r="E6" s="21">
        <v>49.3</v>
      </c>
      <c r="F6" s="21">
        <v>11.8</v>
      </c>
      <c r="G6" s="21">
        <v>0.2</v>
      </c>
      <c r="H6" s="21">
        <v>0</v>
      </c>
      <c r="I6" s="21">
        <v>0</v>
      </c>
      <c r="J6" s="21">
        <v>2.5</v>
      </c>
      <c r="K6" s="21">
        <v>2.2999999999999998</v>
      </c>
      <c r="L6" s="21">
        <v>0.5</v>
      </c>
      <c r="M6" s="21">
        <v>52.5</v>
      </c>
    </row>
    <row r="7" spans="1:15" x14ac:dyDescent="0.3">
      <c r="A7" s="10" t="s">
        <v>190</v>
      </c>
      <c r="B7" s="10" t="s">
        <v>271</v>
      </c>
      <c r="C7" s="10" t="s">
        <v>271</v>
      </c>
      <c r="D7" s="21">
        <v>35</v>
      </c>
      <c r="E7" s="21">
        <v>244</v>
      </c>
      <c r="F7" s="21">
        <v>58.3</v>
      </c>
      <c r="G7" s="21">
        <v>1.2</v>
      </c>
      <c r="H7" s="21">
        <v>5.3</v>
      </c>
      <c r="I7" s="21">
        <v>0.6</v>
      </c>
      <c r="J7" s="21">
        <v>3.5</v>
      </c>
      <c r="K7" s="21">
        <v>0</v>
      </c>
      <c r="L7" s="21">
        <v>0</v>
      </c>
      <c r="M7" s="21">
        <v>0</v>
      </c>
    </row>
    <row r="8" spans="1:15" x14ac:dyDescent="0.3">
      <c r="A8" s="10" t="s">
        <v>221</v>
      </c>
      <c r="B8" s="10">
        <v>3</v>
      </c>
      <c r="C8" s="10" t="s">
        <v>229</v>
      </c>
      <c r="D8" s="21">
        <v>7</v>
      </c>
      <c r="E8" s="21">
        <v>5.9</v>
      </c>
      <c r="F8" s="21">
        <v>1.4</v>
      </c>
      <c r="G8" s="21">
        <v>0.1</v>
      </c>
      <c r="H8" s="21">
        <v>0</v>
      </c>
      <c r="I8" s="21">
        <v>0</v>
      </c>
      <c r="J8" s="21">
        <v>0.2</v>
      </c>
      <c r="K8" s="21">
        <v>0.2</v>
      </c>
      <c r="L8" s="21">
        <v>0.1</v>
      </c>
      <c r="M8" s="21">
        <v>0.2</v>
      </c>
    </row>
    <row r="9" spans="1:15" x14ac:dyDescent="0.3">
      <c r="A9" s="10" t="s">
        <v>251</v>
      </c>
      <c r="B9" s="10">
        <v>3</v>
      </c>
      <c r="C9" s="10" t="s">
        <v>230</v>
      </c>
      <c r="D9" s="21">
        <v>14</v>
      </c>
      <c r="E9" s="21">
        <v>8.8000000000000007</v>
      </c>
      <c r="F9" s="21">
        <v>2.1</v>
      </c>
      <c r="G9" s="21">
        <v>0.1</v>
      </c>
      <c r="H9" s="21">
        <v>0</v>
      </c>
      <c r="I9" s="21">
        <v>0</v>
      </c>
      <c r="J9" s="21">
        <v>0.4</v>
      </c>
      <c r="K9" s="21">
        <v>0.2</v>
      </c>
      <c r="L9" s="21">
        <v>0.1</v>
      </c>
      <c r="M9" s="21">
        <v>0.3</v>
      </c>
    </row>
    <row r="10" spans="1:15" x14ac:dyDescent="0.3">
      <c r="A10" s="10" t="s">
        <v>222</v>
      </c>
      <c r="B10" s="10">
        <v>3</v>
      </c>
      <c r="C10" s="10" t="s">
        <v>231</v>
      </c>
      <c r="D10" s="21">
        <v>4</v>
      </c>
      <c r="E10" s="21">
        <v>6.7</v>
      </c>
      <c r="F10" s="21">
        <v>1.6</v>
      </c>
      <c r="G10" s="21">
        <v>0.1</v>
      </c>
      <c r="H10" s="21">
        <v>0</v>
      </c>
      <c r="I10" s="21">
        <v>0</v>
      </c>
      <c r="J10" s="21">
        <v>0.2</v>
      </c>
      <c r="K10" s="21">
        <v>0.2</v>
      </c>
      <c r="L10" s="21">
        <v>0.1</v>
      </c>
      <c r="M10" s="21">
        <v>67.599999999999994</v>
      </c>
    </row>
    <row r="11" spans="1:15" x14ac:dyDescent="0.3">
      <c r="A11" s="10" t="s">
        <v>223</v>
      </c>
      <c r="B11" s="10">
        <v>3</v>
      </c>
      <c r="C11" s="10" t="s">
        <v>231</v>
      </c>
      <c r="D11" s="21">
        <v>3</v>
      </c>
      <c r="E11" s="21">
        <v>16.100000000000001</v>
      </c>
      <c r="F11" s="21">
        <v>3.8</v>
      </c>
      <c r="G11" s="21">
        <v>0</v>
      </c>
      <c r="H11" s="21">
        <v>0.3</v>
      </c>
      <c r="I11" s="21">
        <v>0.1</v>
      </c>
      <c r="J11" s="21">
        <v>0.2</v>
      </c>
      <c r="K11" s="21">
        <v>0</v>
      </c>
      <c r="L11" s="21">
        <v>0.1</v>
      </c>
      <c r="M11" s="21">
        <v>26.4</v>
      </c>
    </row>
    <row r="12" spans="1:15" x14ac:dyDescent="0.3">
      <c r="A12" s="10" t="s">
        <v>224</v>
      </c>
      <c r="B12" s="10">
        <v>3</v>
      </c>
      <c r="C12" s="10" t="s">
        <v>232</v>
      </c>
      <c r="D12" s="21">
        <v>9.5</v>
      </c>
      <c r="E12" s="21">
        <v>5.9</v>
      </c>
      <c r="F12" s="21">
        <v>1.4</v>
      </c>
      <c r="G12" s="21">
        <v>0</v>
      </c>
      <c r="H12" s="21">
        <v>0</v>
      </c>
      <c r="I12" s="21">
        <v>0</v>
      </c>
      <c r="J12" s="21">
        <v>0.2</v>
      </c>
      <c r="K12" s="21">
        <v>0</v>
      </c>
      <c r="L12" s="21">
        <v>0.1</v>
      </c>
      <c r="M12" s="21">
        <v>114</v>
      </c>
    </row>
    <row r="13" spans="1:15" x14ac:dyDescent="0.3">
      <c r="A13" s="10" t="s">
        <v>225</v>
      </c>
      <c r="B13" s="10">
        <v>3</v>
      </c>
      <c r="C13" s="10" t="s">
        <v>232</v>
      </c>
      <c r="D13" s="21">
        <v>35</v>
      </c>
      <c r="E13" s="21">
        <v>26.4</v>
      </c>
      <c r="F13" s="21">
        <v>6.3</v>
      </c>
      <c r="G13" s="21">
        <v>0.3</v>
      </c>
      <c r="H13" s="21">
        <v>0.1</v>
      </c>
      <c r="I13" s="21">
        <v>0</v>
      </c>
      <c r="J13" s="21">
        <v>0.9</v>
      </c>
      <c r="K13" s="21">
        <v>0.9</v>
      </c>
      <c r="L13" s="21">
        <v>0.4</v>
      </c>
      <c r="M13" s="21">
        <v>1.8</v>
      </c>
    </row>
    <row r="14" spans="1:15" x14ac:dyDescent="0.3">
      <c r="A14" s="10" t="s">
        <v>192</v>
      </c>
      <c r="B14" s="10" t="s">
        <v>271</v>
      </c>
      <c r="C14" s="10" t="s">
        <v>271</v>
      </c>
      <c r="D14" s="21">
        <v>7</v>
      </c>
      <c r="E14" s="21">
        <v>12</v>
      </c>
      <c r="F14" s="21">
        <v>2.9</v>
      </c>
      <c r="G14" s="21">
        <v>0.1</v>
      </c>
      <c r="H14" s="21">
        <v>0</v>
      </c>
      <c r="I14" s="21">
        <v>0</v>
      </c>
      <c r="J14" s="21">
        <v>0.5</v>
      </c>
      <c r="K14" s="21">
        <v>0.3</v>
      </c>
      <c r="L14" s="21">
        <v>0.2</v>
      </c>
      <c r="M14" s="21">
        <v>4.8</v>
      </c>
    </row>
    <row r="17" spans="1:13" x14ac:dyDescent="0.3">
      <c r="A17" s="37" t="s">
        <v>220</v>
      </c>
      <c r="B17" s="37" t="s">
        <v>227</v>
      </c>
      <c r="C17" s="37" t="s">
        <v>228</v>
      </c>
      <c r="D17" s="37" t="s">
        <v>140</v>
      </c>
      <c r="E17" s="37" t="s">
        <v>141</v>
      </c>
      <c r="F17" s="37" t="s">
        <v>142</v>
      </c>
      <c r="G17" s="37" t="s">
        <v>143</v>
      </c>
      <c r="H17" s="37" t="s">
        <v>144</v>
      </c>
      <c r="I17" s="37" t="s">
        <v>145</v>
      </c>
      <c r="J17" s="37" t="s">
        <v>146</v>
      </c>
      <c r="K17" s="37" t="s">
        <v>147</v>
      </c>
      <c r="L17" s="37" t="s">
        <v>148</v>
      </c>
      <c r="M17" s="37" t="s">
        <v>149</v>
      </c>
    </row>
    <row r="18" spans="1:13" x14ac:dyDescent="0.3">
      <c r="A18" s="33" t="s">
        <v>221</v>
      </c>
      <c r="B18" s="33">
        <v>1</v>
      </c>
      <c r="C18" s="33" t="s">
        <v>233</v>
      </c>
      <c r="D18" s="34">
        <v>2.3333333333333335</v>
      </c>
      <c r="E18" s="34">
        <v>1.9666666666666668</v>
      </c>
      <c r="F18" s="34">
        <v>0.46666666666666662</v>
      </c>
      <c r="G18" s="34">
        <v>3.3333333333333333E-2</v>
      </c>
      <c r="H18" s="34">
        <v>0</v>
      </c>
      <c r="I18" s="34">
        <v>0</v>
      </c>
      <c r="J18" s="34">
        <v>6.6666666666666666E-2</v>
      </c>
      <c r="K18" s="34">
        <v>6.6666666666666666E-2</v>
      </c>
      <c r="L18" s="34">
        <v>3.3333333333333333E-2</v>
      </c>
      <c r="M18" s="34">
        <v>6.6666666666666666E-2</v>
      </c>
    </row>
    <row r="19" spans="1:13" x14ac:dyDescent="0.3">
      <c r="A19" s="35" t="s">
        <v>251</v>
      </c>
      <c r="B19" s="35">
        <v>1</v>
      </c>
      <c r="C19" s="35" t="s">
        <v>234</v>
      </c>
      <c r="D19" s="36">
        <v>4.666666666666667</v>
      </c>
      <c r="E19" s="36">
        <v>2.9333333333333336</v>
      </c>
      <c r="F19" s="36">
        <v>0.70000000000000007</v>
      </c>
      <c r="G19" s="36">
        <v>3.3333333333333333E-2</v>
      </c>
      <c r="H19" s="36">
        <v>0</v>
      </c>
      <c r="I19" s="36">
        <v>0</v>
      </c>
      <c r="J19" s="36">
        <v>0.13333333333333333</v>
      </c>
      <c r="K19" s="36">
        <v>6.6666666666666666E-2</v>
      </c>
      <c r="L19" s="36">
        <v>3.3333333333333333E-2</v>
      </c>
      <c r="M19" s="36">
        <v>9.9999999999999992E-2</v>
      </c>
    </row>
    <row r="20" spans="1:13" x14ac:dyDescent="0.3">
      <c r="A20" s="33" t="s">
        <v>222</v>
      </c>
      <c r="B20" s="33">
        <v>1</v>
      </c>
      <c r="C20" s="33" t="s">
        <v>235</v>
      </c>
      <c r="D20" s="34">
        <v>1.3333333333333333</v>
      </c>
      <c r="E20" s="34">
        <v>2.2333333333333334</v>
      </c>
      <c r="F20" s="34">
        <v>0.53333333333333333</v>
      </c>
      <c r="G20" s="34">
        <v>3.3333333333333333E-2</v>
      </c>
      <c r="H20" s="34">
        <v>0</v>
      </c>
      <c r="I20" s="34">
        <v>0</v>
      </c>
      <c r="J20" s="34">
        <v>6.6666666666666666E-2</v>
      </c>
      <c r="K20" s="34">
        <v>6.6666666666666666E-2</v>
      </c>
      <c r="L20" s="34">
        <v>3.3333333333333333E-2</v>
      </c>
      <c r="M20" s="34">
        <v>22.533333333333331</v>
      </c>
    </row>
    <row r="21" spans="1:13" x14ac:dyDescent="0.3">
      <c r="A21" s="35" t="s">
        <v>223</v>
      </c>
      <c r="B21" s="35">
        <v>1</v>
      </c>
      <c r="C21" s="35" t="s">
        <v>235</v>
      </c>
      <c r="D21" s="36">
        <v>1</v>
      </c>
      <c r="E21" s="36">
        <v>5.3666666666666671</v>
      </c>
      <c r="F21" s="36">
        <v>1.2666666666666666</v>
      </c>
      <c r="G21" s="36">
        <v>0</v>
      </c>
      <c r="H21" s="36">
        <v>9.9999999999999992E-2</v>
      </c>
      <c r="I21" s="36">
        <v>3.3333333333333333E-2</v>
      </c>
      <c r="J21" s="36">
        <v>6.6666666666666666E-2</v>
      </c>
      <c r="K21" s="36">
        <v>0</v>
      </c>
      <c r="L21" s="36">
        <v>3.3333333333333333E-2</v>
      </c>
      <c r="M21" s="36">
        <v>8.7999999999999989</v>
      </c>
    </row>
    <row r="22" spans="1:13" x14ac:dyDescent="0.3">
      <c r="A22" s="33" t="s">
        <v>224</v>
      </c>
      <c r="B22" s="33">
        <v>1</v>
      </c>
      <c r="C22" s="33" t="s">
        <v>236</v>
      </c>
      <c r="D22" s="34">
        <v>3.1666666666666665</v>
      </c>
      <c r="E22" s="34">
        <v>1.9666666666666668</v>
      </c>
      <c r="F22" s="34">
        <v>0.46666666666666662</v>
      </c>
      <c r="G22" s="34">
        <v>0</v>
      </c>
      <c r="H22" s="34">
        <v>0</v>
      </c>
      <c r="I22" s="34">
        <v>0</v>
      </c>
      <c r="J22" s="34">
        <v>6.6666666666666666E-2</v>
      </c>
      <c r="K22" s="34">
        <v>0</v>
      </c>
      <c r="L22" s="34">
        <v>3.3333333333333333E-2</v>
      </c>
      <c r="M22" s="34">
        <v>38</v>
      </c>
    </row>
    <row r="23" spans="1:13" x14ac:dyDescent="0.3">
      <c r="A23" s="38" t="s">
        <v>225</v>
      </c>
      <c r="B23" s="38">
        <v>1</v>
      </c>
      <c r="C23" s="38" t="s">
        <v>236</v>
      </c>
      <c r="D23" s="39">
        <v>11.666666666666666</v>
      </c>
      <c r="E23" s="39">
        <v>8.7999999999999989</v>
      </c>
      <c r="F23" s="39">
        <v>2.1</v>
      </c>
      <c r="G23" s="39">
        <v>9.9999999999999992E-2</v>
      </c>
      <c r="H23" s="39">
        <v>3.3333333333333333E-2</v>
      </c>
      <c r="I23" s="39">
        <v>0</v>
      </c>
      <c r="J23" s="39">
        <v>0.3</v>
      </c>
      <c r="K23" s="39">
        <v>0.3</v>
      </c>
      <c r="L23" s="39">
        <v>0.13333333333333333</v>
      </c>
      <c r="M23" s="39">
        <v>0.6</v>
      </c>
    </row>
    <row r="25" spans="1:13" x14ac:dyDescent="0.3">
      <c r="A25"/>
      <c r="B25"/>
      <c r="C25"/>
      <c r="D25"/>
      <c r="E25"/>
      <c r="F25"/>
      <c r="G25"/>
      <c r="H25"/>
      <c r="I25"/>
      <c r="J25"/>
      <c r="K25"/>
      <c r="L25"/>
      <c r="M25"/>
    </row>
    <row r="26" spans="1:13" x14ac:dyDescent="0.3">
      <c r="A26"/>
      <c r="B26"/>
      <c r="C26"/>
      <c r="D26"/>
      <c r="E26"/>
      <c r="F26"/>
      <c r="G26"/>
      <c r="H26"/>
      <c r="I26"/>
      <c r="J26"/>
      <c r="K26"/>
      <c r="L26"/>
      <c r="M26"/>
    </row>
    <row r="34" spans="1:13" x14ac:dyDescent="0.3">
      <c r="A34"/>
      <c r="B34"/>
      <c r="C34"/>
      <c r="D34"/>
      <c r="E34"/>
      <c r="F34"/>
      <c r="G34"/>
      <c r="H34"/>
      <c r="I34"/>
      <c r="J34"/>
      <c r="K34"/>
      <c r="L34"/>
      <c r="M34"/>
    </row>
    <row r="35" spans="1:13" x14ac:dyDescent="0.3">
      <c r="A35"/>
      <c r="B35"/>
      <c r="C35"/>
      <c r="D35"/>
      <c r="E35"/>
      <c r="F35"/>
      <c r="G35"/>
      <c r="H35"/>
      <c r="I35"/>
      <c r="J35"/>
      <c r="K35"/>
      <c r="L35"/>
      <c r="M35"/>
    </row>
    <row r="36" spans="1:13" x14ac:dyDescent="0.3">
      <c r="A36"/>
      <c r="B36"/>
      <c r="C36"/>
      <c r="D36"/>
      <c r="E36"/>
      <c r="F36"/>
      <c r="G36"/>
      <c r="H36"/>
      <c r="I36"/>
      <c r="J36"/>
      <c r="K36"/>
      <c r="L36"/>
      <c r="M36"/>
    </row>
    <row r="37" spans="1:13" x14ac:dyDescent="0.3">
      <c r="A37"/>
      <c r="B37"/>
      <c r="C37"/>
      <c r="D37"/>
      <c r="E37"/>
      <c r="F37"/>
      <c r="G37"/>
      <c r="H37"/>
      <c r="I37"/>
      <c r="J37"/>
      <c r="K37"/>
      <c r="L37"/>
      <c r="M37"/>
    </row>
    <row r="38" spans="1:13" x14ac:dyDescent="0.3">
      <c r="A38"/>
      <c r="B38"/>
      <c r="C38"/>
      <c r="D38"/>
      <c r="E38"/>
      <c r="F38"/>
      <c r="G38"/>
      <c r="H38"/>
      <c r="I38"/>
      <c r="J38"/>
      <c r="K38"/>
      <c r="L38"/>
      <c r="M38"/>
    </row>
    <row r="39" spans="1:13" x14ac:dyDescent="0.3">
      <c r="A39"/>
      <c r="B39"/>
      <c r="C39"/>
      <c r="D39"/>
      <c r="E39"/>
      <c r="F39"/>
      <c r="G39"/>
      <c r="H39"/>
      <c r="I39"/>
      <c r="J39"/>
      <c r="K39"/>
      <c r="L39"/>
      <c r="M39"/>
    </row>
    <row r="40" spans="1:13" x14ac:dyDescent="0.3">
      <c r="A40"/>
      <c r="B40"/>
      <c r="C40"/>
      <c r="D40"/>
      <c r="E40"/>
      <c r="F40"/>
      <c r="G40"/>
      <c r="H40"/>
      <c r="I40"/>
      <c r="J40"/>
      <c r="K40"/>
      <c r="L40"/>
      <c r="M40"/>
    </row>
    <row r="41" spans="1:13" x14ac:dyDescent="0.3">
      <c r="A41"/>
      <c r="B41"/>
      <c r="C41"/>
      <c r="D41"/>
      <c r="E41"/>
      <c r="F41"/>
      <c r="G41"/>
      <c r="H41"/>
      <c r="I41"/>
      <c r="J41"/>
      <c r="K41"/>
      <c r="L41"/>
      <c r="M41"/>
    </row>
    <row r="42" spans="1:13" x14ac:dyDescent="0.3">
      <c r="A42"/>
      <c r="B42"/>
      <c r="C42"/>
      <c r="D42"/>
      <c r="E42"/>
      <c r="F42"/>
      <c r="G42"/>
      <c r="H42"/>
      <c r="I42"/>
      <c r="J42"/>
      <c r="K42"/>
      <c r="L42"/>
      <c r="M42"/>
    </row>
    <row r="43" spans="1:13" x14ac:dyDescent="0.3">
      <c r="A43"/>
      <c r="B43"/>
      <c r="C43"/>
      <c r="D43"/>
      <c r="E43"/>
      <c r="F43"/>
      <c r="G43"/>
      <c r="H43"/>
      <c r="I43"/>
      <c r="J43"/>
      <c r="K43"/>
      <c r="L43"/>
      <c r="M43"/>
    </row>
    <row r="44" spans="1:13" x14ac:dyDescent="0.3">
      <c r="A44"/>
      <c r="B44"/>
      <c r="C44"/>
      <c r="D44"/>
      <c r="E44"/>
      <c r="F44"/>
      <c r="G44"/>
      <c r="H44"/>
      <c r="I44"/>
      <c r="J44"/>
      <c r="K44"/>
      <c r="L44"/>
      <c r="M44"/>
    </row>
    <row r="45" spans="1:13" x14ac:dyDescent="0.3">
      <c r="A45"/>
      <c r="B45"/>
      <c r="C45"/>
      <c r="D45"/>
      <c r="E45"/>
      <c r="F45"/>
      <c r="G45"/>
      <c r="H45"/>
      <c r="I45"/>
      <c r="J45"/>
      <c r="K45"/>
      <c r="L45"/>
      <c r="M45"/>
    </row>
    <row r="46" spans="1:13" x14ac:dyDescent="0.3">
      <c r="A46"/>
      <c r="B46"/>
      <c r="C46"/>
      <c r="D46"/>
      <c r="E46"/>
      <c r="F46"/>
      <c r="G46"/>
      <c r="H46"/>
      <c r="I46"/>
      <c r="J46"/>
      <c r="K46"/>
      <c r="L46"/>
      <c r="M46"/>
    </row>
    <row r="47" spans="1:13" x14ac:dyDescent="0.3">
      <c r="A47"/>
      <c r="B47"/>
      <c r="C47"/>
      <c r="D47"/>
      <c r="E47"/>
      <c r="F47"/>
      <c r="G47"/>
      <c r="H47"/>
      <c r="I47"/>
      <c r="J47"/>
      <c r="K47"/>
      <c r="L47"/>
      <c r="M47"/>
    </row>
    <row r="48" spans="1:13" x14ac:dyDescent="0.3">
      <c r="A48"/>
      <c r="B48"/>
      <c r="C48"/>
      <c r="D48"/>
      <c r="E48"/>
      <c r="F48"/>
      <c r="G48"/>
      <c r="H48"/>
      <c r="I48"/>
      <c r="J48"/>
      <c r="K48"/>
      <c r="L48"/>
      <c r="M48"/>
    </row>
    <row r="54" spans="1:13" x14ac:dyDescent="0.3">
      <c r="A54" s="10" t="s">
        <v>283</v>
      </c>
      <c r="B54" s="10" t="s">
        <v>284</v>
      </c>
      <c r="C54" s="10" t="s">
        <v>285</v>
      </c>
      <c r="D54" s="10" t="s">
        <v>286</v>
      </c>
      <c r="E54" s="10" t="s">
        <v>287</v>
      </c>
      <c r="F54" s="10" t="s">
        <v>288</v>
      </c>
      <c r="G54" s="10" t="s">
        <v>289</v>
      </c>
      <c r="H54" s="10" t="s">
        <v>290</v>
      </c>
      <c r="I54" s="10" t="s">
        <v>291</v>
      </c>
      <c r="J54" s="10" t="s">
        <v>292</v>
      </c>
      <c r="K54" s="10" t="s">
        <v>293</v>
      </c>
      <c r="L54" s="10" t="s">
        <v>294</v>
      </c>
      <c r="M54" s="10" t="s">
        <v>295</v>
      </c>
    </row>
    <row r="55" spans="1:13" x14ac:dyDescent="0.3">
      <c r="D55" s="19"/>
      <c r="E55" s="19"/>
      <c r="F55" s="19"/>
      <c r="G55" s="19"/>
      <c r="H55" s="19"/>
      <c r="I55" s="19"/>
      <c r="J55" s="19"/>
      <c r="K55" s="19"/>
      <c r="L55" s="19"/>
      <c r="M55" s="19"/>
    </row>
    <row r="56" spans="1:13" x14ac:dyDescent="0.3">
      <c r="D56" s="19"/>
      <c r="E56" s="19"/>
      <c r="F56" s="19"/>
      <c r="G56" s="19"/>
      <c r="H56" s="19"/>
      <c r="I56" s="19"/>
      <c r="J56" s="19"/>
      <c r="K56" s="19"/>
      <c r="L56" s="19"/>
      <c r="M56" s="19"/>
    </row>
    <row r="57" spans="1:13" x14ac:dyDescent="0.3">
      <c r="D57" s="19"/>
      <c r="E57" s="19"/>
      <c r="F57" s="19"/>
      <c r="G57" s="19"/>
      <c r="H57" s="19"/>
      <c r="I57" s="19"/>
      <c r="J57" s="19"/>
      <c r="K57" s="19"/>
      <c r="L57" s="19"/>
      <c r="M57" s="19"/>
    </row>
    <row r="58" spans="1:13" x14ac:dyDescent="0.3">
      <c r="D58" s="19"/>
      <c r="E58" s="19"/>
      <c r="F58" s="19"/>
      <c r="G58" s="19"/>
      <c r="H58" s="19"/>
      <c r="I58" s="19"/>
      <c r="J58" s="19"/>
      <c r="K58" s="19"/>
      <c r="L58" s="19"/>
      <c r="M58" s="19"/>
    </row>
    <row r="59" spans="1:13" x14ac:dyDescent="0.3">
      <c r="D59" s="19"/>
      <c r="E59" s="19"/>
      <c r="F59" s="19"/>
      <c r="G59" s="19"/>
      <c r="H59" s="19"/>
      <c r="I59" s="19"/>
      <c r="J59" s="19"/>
      <c r="K59" s="19"/>
      <c r="L59" s="19"/>
      <c r="M59" s="19"/>
    </row>
    <row r="60" spans="1:13" x14ac:dyDescent="0.3">
      <c r="D60" s="19"/>
      <c r="E60" s="19"/>
      <c r="F60" s="19"/>
      <c r="G60" s="19"/>
      <c r="H60" s="19"/>
      <c r="I60" s="19"/>
      <c r="J60" s="19"/>
      <c r="K60" s="19"/>
      <c r="L60" s="19"/>
      <c r="M60" s="19"/>
    </row>
    <row r="61" spans="1:13" x14ac:dyDescent="0.3">
      <c r="D61" s="19"/>
      <c r="E61" s="19"/>
      <c r="F61" s="19"/>
      <c r="G61" s="19"/>
      <c r="H61" s="19"/>
      <c r="I61" s="19"/>
      <c r="J61" s="19"/>
      <c r="K61" s="19"/>
      <c r="L61" s="19"/>
      <c r="M61" s="19"/>
    </row>
  </sheetData>
  <phoneticPr fontId="16" type="noConversion"/>
  <pageMargins left="0.7" right="0.7" top="0.75" bottom="0.75" header="0.3" footer="0.3"/>
  <pageSetup paperSize="9" orientation="portrait" horizontalDpi="300" verticalDpi="300" r:id="rId1"/>
  <tableParts count="3">
    <tablePart r:id="rId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FA2AF-6E63-46A8-A544-EB21530D87F0}">
  <sheetPr codeName="Sheet14"/>
  <dimension ref="A1:K18"/>
  <sheetViews>
    <sheetView zoomScale="85" zoomScaleNormal="85" workbookViewId="0">
      <selection activeCell="A17" sqref="A17"/>
    </sheetView>
  </sheetViews>
  <sheetFormatPr defaultRowHeight="13" x14ac:dyDescent="0.3"/>
  <cols>
    <col min="1" max="1" width="29.5" bestFit="1" customWidth="1"/>
    <col min="2" max="2" width="18.19921875" bestFit="1" customWidth="1"/>
    <col min="3" max="3" width="14.09765625" bestFit="1" customWidth="1"/>
    <col min="4" max="4" width="16.19921875" bestFit="1" customWidth="1"/>
    <col min="5" max="5" width="13.796875" bestFit="1" customWidth="1"/>
    <col min="6" max="6" width="15.796875" bestFit="1" customWidth="1"/>
    <col min="7" max="7" width="13.69921875" bestFit="1" customWidth="1"/>
    <col min="8" max="8" width="21.3984375" bestFit="1" customWidth="1"/>
    <col min="9" max="9" width="13" bestFit="1" customWidth="1"/>
    <col min="10" max="10" width="19.3984375" bestFit="1" customWidth="1"/>
    <col min="11" max="11" width="16.09765625" bestFit="1" customWidth="1"/>
  </cols>
  <sheetData>
    <row r="1" spans="1:11" ht="15.5" x14ac:dyDescent="0.3">
      <c r="A1" s="10" t="s">
        <v>319</v>
      </c>
      <c r="B1" s="10" t="s">
        <v>140</v>
      </c>
      <c r="C1" s="10" t="s">
        <v>141</v>
      </c>
      <c r="D1" s="10" t="s">
        <v>142</v>
      </c>
      <c r="E1" s="10" t="s">
        <v>143</v>
      </c>
      <c r="F1" s="10" t="s">
        <v>144</v>
      </c>
      <c r="G1" s="10" t="s">
        <v>145</v>
      </c>
      <c r="H1" s="10" t="s">
        <v>146</v>
      </c>
      <c r="I1" s="10" t="s">
        <v>147</v>
      </c>
      <c r="J1" s="10" t="s">
        <v>148</v>
      </c>
      <c r="K1" s="10" t="s">
        <v>149</v>
      </c>
    </row>
    <row r="2" spans="1:11" ht="15.5" x14ac:dyDescent="0.3">
      <c r="A2" s="10" t="s">
        <v>177</v>
      </c>
      <c r="B2" s="21">
        <v>15</v>
      </c>
      <c r="C2" s="21">
        <v>268</v>
      </c>
      <c r="D2" s="21">
        <v>64.2</v>
      </c>
      <c r="E2" s="21">
        <v>0.3</v>
      </c>
      <c r="F2" s="21">
        <v>6.5</v>
      </c>
      <c r="G2" s="21">
        <v>0.6</v>
      </c>
      <c r="H2" s="21">
        <v>1.3</v>
      </c>
      <c r="I2" s="21">
        <v>0.8</v>
      </c>
      <c r="J2" s="21">
        <v>0.1</v>
      </c>
      <c r="K2" s="21">
        <v>180</v>
      </c>
    </row>
    <row r="3" spans="1:11" ht="15.5" x14ac:dyDescent="0.3">
      <c r="A3" s="10" t="s">
        <v>178</v>
      </c>
      <c r="B3" s="21">
        <v>21</v>
      </c>
      <c r="C3" s="21">
        <v>389</v>
      </c>
      <c r="D3" s="21">
        <v>92.9</v>
      </c>
      <c r="E3" s="21">
        <v>0.6</v>
      </c>
      <c r="F3" s="21">
        <v>10.1</v>
      </c>
      <c r="G3" s="21">
        <v>1.6</v>
      </c>
      <c r="H3" s="21">
        <v>1.2</v>
      </c>
      <c r="I3" s="21">
        <v>0.9</v>
      </c>
      <c r="J3" s="21">
        <v>0</v>
      </c>
      <c r="K3" s="21">
        <v>134</v>
      </c>
    </row>
    <row r="4" spans="1:11" ht="15.5" x14ac:dyDescent="0.3">
      <c r="A4" s="10" t="s">
        <v>179</v>
      </c>
      <c r="B4" s="21">
        <v>21</v>
      </c>
      <c r="C4" s="21">
        <v>246</v>
      </c>
      <c r="D4" s="21">
        <v>58.7</v>
      </c>
      <c r="E4" s="21">
        <v>0.3</v>
      </c>
      <c r="F4" s="21">
        <v>5.8</v>
      </c>
      <c r="G4" s="21">
        <v>0.9</v>
      </c>
      <c r="H4" s="21">
        <v>1.6</v>
      </c>
      <c r="I4" s="21">
        <v>1</v>
      </c>
      <c r="J4" s="21">
        <v>0</v>
      </c>
      <c r="K4" s="21">
        <v>187</v>
      </c>
    </row>
    <row r="5" spans="1:11" ht="15.5" x14ac:dyDescent="0.3">
      <c r="A5" s="10" t="s">
        <v>180</v>
      </c>
      <c r="B5" s="21">
        <v>15</v>
      </c>
      <c r="C5" s="21">
        <v>82.5</v>
      </c>
      <c r="D5" s="21">
        <v>19.7</v>
      </c>
      <c r="E5" s="21">
        <v>0.1</v>
      </c>
      <c r="F5" s="21">
        <v>0</v>
      </c>
      <c r="G5" s="21">
        <v>0</v>
      </c>
      <c r="H5" s="21">
        <v>4.5999999999999996</v>
      </c>
      <c r="I5" s="21">
        <v>3.7</v>
      </c>
      <c r="J5" s="21">
        <v>0.1</v>
      </c>
      <c r="K5" s="21">
        <v>320</v>
      </c>
    </row>
    <row r="6" spans="1:11" ht="15.5" x14ac:dyDescent="0.3">
      <c r="A6" s="10" t="s">
        <v>181</v>
      </c>
      <c r="B6" s="21">
        <v>21</v>
      </c>
      <c r="C6" s="21">
        <v>124</v>
      </c>
      <c r="D6" s="21">
        <v>29.6</v>
      </c>
      <c r="E6" s="21">
        <v>0.3</v>
      </c>
      <c r="F6" s="21">
        <v>0.3</v>
      </c>
      <c r="G6" s="21">
        <v>0</v>
      </c>
      <c r="H6" s="21">
        <v>6.5</v>
      </c>
      <c r="I6" s="21">
        <v>4.4000000000000004</v>
      </c>
      <c r="J6" s="21">
        <v>0</v>
      </c>
      <c r="K6" s="21">
        <v>94.5</v>
      </c>
    </row>
    <row r="7" spans="1:11" ht="15.5" x14ac:dyDescent="0.3">
      <c r="A7" s="10" t="s">
        <v>182</v>
      </c>
      <c r="B7" s="21">
        <v>21</v>
      </c>
      <c r="C7" s="21">
        <v>59.9</v>
      </c>
      <c r="D7" s="21">
        <v>14.3</v>
      </c>
      <c r="E7" s="21">
        <v>0.3</v>
      </c>
      <c r="F7" s="21">
        <v>0.5</v>
      </c>
      <c r="G7" s="21">
        <v>0.1</v>
      </c>
      <c r="H7" s="21">
        <v>1.8</v>
      </c>
      <c r="I7" s="21">
        <v>1.4</v>
      </c>
      <c r="J7" s="21">
        <v>0.5</v>
      </c>
      <c r="K7" s="21">
        <v>70.400000000000006</v>
      </c>
    </row>
    <row r="8" spans="1:11" ht="15.5" x14ac:dyDescent="0.3">
      <c r="A8" s="10" t="s">
        <v>183</v>
      </c>
      <c r="B8" s="21">
        <v>15</v>
      </c>
      <c r="C8" s="21">
        <v>86.1</v>
      </c>
      <c r="D8" s="21">
        <v>20.6</v>
      </c>
      <c r="E8" s="21">
        <v>0.1</v>
      </c>
      <c r="F8" s="21">
        <v>1.2</v>
      </c>
      <c r="G8" s="21">
        <v>0.2</v>
      </c>
      <c r="H8" s="21">
        <v>2.2999999999999998</v>
      </c>
      <c r="I8" s="21">
        <v>1.5</v>
      </c>
      <c r="J8" s="21">
        <v>0</v>
      </c>
      <c r="K8" s="21">
        <v>79.5</v>
      </c>
    </row>
    <row r="9" spans="1:11" ht="15.5" x14ac:dyDescent="0.3">
      <c r="A9" s="10" t="s">
        <v>184</v>
      </c>
      <c r="B9" s="21">
        <v>21</v>
      </c>
      <c r="C9" s="21">
        <v>386</v>
      </c>
      <c r="D9" s="21">
        <v>92.4</v>
      </c>
      <c r="E9" s="21">
        <v>0.3</v>
      </c>
      <c r="F9" s="21">
        <v>9.6999999999999993</v>
      </c>
      <c r="G9" s="21">
        <v>1.6</v>
      </c>
      <c r="H9" s="21">
        <v>1.3</v>
      </c>
      <c r="I9" s="21">
        <v>0.8</v>
      </c>
      <c r="J9" s="21">
        <v>0.1</v>
      </c>
      <c r="K9" s="21">
        <v>202</v>
      </c>
    </row>
    <row r="10" spans="1:11" ht="15.5" x14ac:dyDescent="0.3">
      <c r="A10" s="10" t="s">
        <v>185</v>
      </c>
      <c r="B10" s="21">
        <v>21</v>
      </c>
      <c r="C10" s="21">
        <v>131</v>
      </c>
      <c r="D10" s="21">
        <v>31.3</v>
      </c>
      <c r="E10" s="21">
        <v>0.2</v>
      </c>
      <c r="F10" s="21">
        <v>0.2</v>
      </c>
      <c r="G10" s="21">
        <v>0.2</v>
      </c>
      <c r="H10" s="21">
        <v>7.5</v>
      </c>
      <c r="I10" s="21">
        <v>5.7</v>
      </c>
      <c r="J10" s="21">
        <v>0.2</v>
      </c>
      <c r="K10" s="21">
        <v>172</v>
      </c>
    </row>
    <row r="11" spans="1:11" ht="15.5" x14ac:dyDescent="0.3">
      <c r="A11" s="10" t="s">
        <v>186</v>
      </c>
      <c r="B11" s="21">
        <v>15</v>
      </c>
      <c r="C11" s="21">
        <v>157</v>
      </c>
      <c r="D11" s="21">
        <v>37.6</v>
      </c>
      <c r="E11" s="21">
        <v>0.2</v>
      </c>
      <c r="F11" s="21">
        <v>7.4</v>
      </c>
      <c r="G11" s="21">
        <v>0.6</v>
      </c>
      <c r="H11" s="21">
        <v>1.7</v>
      </c>
      <c r="I11" s="21">
        <v>1.4</v>
      </c>
      <c r="J11" s="21">
        <v>0.1</v>
      </c>
      <c r="K11" s="21">
        <v>153</v>
      </c>
    </row>
    <row r="12" spans="1:11" ht="15.5" x14ac:dyDescent="0.3">
      <c r="A12" s="10" t="s">
        <v>187</v>
      </c>
      <c r="B12" s="21">
        <v>21</v>
      </c>
      <c r="C12" s="21">
        <v>165</v>
      </c>
      <c r="D12" s="21">
        <v>39.5</v>
      </c>
      <c r="E12" s="21">
        <v>0</v>
      </c>
      <c r="F12" s="21">
        <v>0.1</v>
      </c>
      <c r="G12" s="21">
        <v>0</v>
      </c>
      <c r="H12" s="21">
        <v>9.6</v>
      </c>
      <c r="I12" s="21">
        <v>9.1</v>
      </c>
      <c r="J12" s="21">
        <v>0</v>
      </c>
      <c r="K12" s="21">
        <v>185</v>
      </c>
    </row>
    <row r="13" spans="1:11" ht="15.5" x14ac:dyDescent="0.3">
      <c r="A13" s="10" t="s">
        <v>188</v>
      </c>
      <c r="B13" s="21">
        <v>21</v>
      </c>
      <c r="C13" s="21">
        <v>155</v>
      </c>
      <c r="D13" s="21">
        <v>38.6</v>
      </c>
      <c r="E13" s="21">
        <v>0.1</v>
      </c>
      <c r="F13" s="21">
        <v>0.1</v>
      </c>
      <c r="G13" s="21">
        <v>0</v>
      </c>
      <c r="H13" s="21">
        <v>9.1</v>
      </c>
      <c r="I13" s="21">
        <v>7.9</v>
      </c>
      <c r="J13" s="21">
        <v>0.1</v>
      </c>
      <c r="K13" s="21">
        <v>73.5</v>
      </c>
    </row>
    <row r="16" spans="1:11" ht="15.5" x14ac:dyDescent="0.3">
      <c r="A16" s="10" t="s">
        <v>320</v>
      </c>
      <c r="B16" s="10" t="s">
        <v>140</v>
      </c>
      <c r="C16" s="10" t="s">
        <v>141</v>
      </c>
      <c r="D16" s="10" t="s">
        <v>142</v>
      </c>
      <c r="E16" s="10" t="s">
        <v>143</v>
      </c>
      <c r="F16" s="10" t="s">
        <v>144</v>
      </c>
      <c r="G16" s="10" t="s">
        <v>145</v>
      </c>
      <c r="H16" s="10" t="s">
        <v>146</v>
      </c>
      <c r="I16" s="10" t="s">
        <v>147</v>
      </c>
      <c r="J16" s="10" t="s">
        <v>148</v>
      </c>
      <c r="K16" s="10" t="s">
        <v>149</v>
      </c>
    </row>
    <row r="17" spans="1:11" ht="15.5" x14ac:dyDescent="0.3">
      <c r="A17" s="10" t="s">
        <v>201</v>
      </c>
      <c r="B17" s="10">
        <v>1</v>
      </c>
      <c r="C17" s="10">
        <v>12.1</v>
      </c>
      <c r="D17" s="10">
        <v>2.9</v>
      </c>
      <c r="E17" s="10">
        <v>0.1</v>
      </c>
      <c r="F17" s="10">
        <v>0</v>
      </c>
      <c r="G17" s="10">
        <v>0</v>
      </c>
      <c r="H17" s="10">
        <v>0.4</v>
      </c>
      <c r="I17" s="10">
        <v>0</v>
      </c>
      <c r="J17" s="10">
        <v>0</v>
      </c>
      <c r="K17" s="10">
        <v>0.3</v>
      </c>
    </row>
    <row r="18" spans="1:11" ht="15.5" x14ac:dyDescent="0.3">
      <c r="A18" s="10" t="s">
        <v>202</v>
      </c>
      <c r="B18" s="10">
        <v>1</v>
      </c>
      <c r="C18" s="10">
        <v>0</v>
      </c>
      <c r="D18" s="10">
        <v>0</v>
      </c>
      <c r="E18" s="10">
        <v>0</v>
      </c>
      <c r="F18" s="10">
        <v>0</v>
      </c>
      <c r="G18" s="10">
        <v>0</v>
      </c>
      <c r="H18" s="10">
        <v>0</v>
      </c>
      <c r="I18" s="10">
        <v>0</v>
      </c>
      <c r="J18" s="10">
        <v>0</v>
      </c>
      <c r="K18" s="10">
        <v>391</v>
      </c>
    </row>
  </sheetData>
  <pageMargins left="0.7" right="0.7" top="0.75" bottom="0.75" header="0.3" footer="0.3"/>
  <pageSetup paperSize="9" orientation="portrait" horizontalDpi="300" verticalDpi="300" r:id="rId1"/>
  <tableParts count="2">
    <tablePart r:id="rId2"/>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2A438-1349-4F0C-B2A5-2F224BD91CD1}">
  <sheetPr codeName="Sheet19"/>
  <dimension ref="A1:AC57"/>
  <sheetViews>
    <sheetView showGridLines="0" zoomScaleNormal="100" workbookViewId="0">
      <selection activeCell="G36" sqref="G36"/>
    </sheetView>
  </sheetViews>
  <sheetFormatPr defaultRowHeight="15" customHeight="1" x14ac:dyDescent="0.3"/>
  <cols>
    <col min="1" max="3" width="3" style="194" customWidth="1"/>
    <col min="4" max="4" width="1.5" style="194" customWidth="1"/>
    <col min="5" max="5" width="37.8984375" style="194" bestFit="1" customWidth="1"/>
    <col min="6" max="6" width="2" style="194" customWidth="1"/>
    <col min="7" max="7" width="10.09765625" style="194" bestFit="1" customWidth="1"/>
    <col min="8" max="8" width="2" style="194" customWidth="1"/>
    <col min="9" max="9" width="22.8984375" style="194" bestFit="1" customWidth="1"/>
    <col min="10" max="10" width="1.5" style="194" customWidth="1"/>
    <col min="11" max="12" width="3" style="194" customWidth="1"/>
    <col min="13" max="13" width="6" style="194" customWidth="1"/>
    <col min="14" max="14" width="3" style="194" customWidth="1"/>
    <col min="15" max="15" width="15.8984375" style="194" customWidth="1"/>
    <col min="16" max="16" width="1.5" style="194" customWidth="1"/>
    <col min="17" max="17" width="9" style="194" customWidth="1"/>
    <col min="18" max="18" width="1.5" style="194" customWidth="1"/>
    <col min="19" max="19" width="9" style="194" customWidth="1"/>
    <col min="20" max="20" width="1.5" style="194" customWidth="1"/>
    <col min="21" max="21" width="9" style="194" customWidth="1"/>
    <col min="22" max="22" width="3" style="194" customWidth="1"/>
    <col min="23" max="27" width="8.69921875" style="194" customWidth="1"/>
    <col min="28" max="28" width="3" style="194" customWidth="1"/>
    <col min="29" max="16384" width="8.796875" style="194"/>
  </cols>
  <sheetData>
    <row r="1" spans="1:29" ht="15" customHeight="1" x14ac:dyDescent="0.3">
      <c r="N1" s="196"/>
      <c r="O1" s="196"/>
      <c r="P1" s="196"/>
      <c r="Q1" s="196"/>
      <c r="R1" s="196"/>
      <c r="S1" s="196"/>
      <c r="T1" s="196"/>
      <c r="U1" s="196"/>
      <c r="V1" s="196"/>
      <c r="W1" s="196"/>
      <c r="X1" s="196"/>
      <c r="Y1" s="196"/>
      <c r="Z1" s="196"/>
      <c r="AA1" s="196"/>
      <c r="AB1" s="196"/>
    </row>
    <row r="2" spans="1:29" s="219" customFormat="1" ht="15" customHeight="1" x14ac:dyDescent="0.3">
      <c r="A2" s="217"/>
      <c r="B2" s="264"/>
      <c r="C2" s="317" t="s">
        <v>333</v>
      </c>
      <c r="D2" s="317"/>
      <c r="E2" s="317"/>
      <c r="F2" s="317"/>
      <c r="G2" s="317"/>
      <c r="H2" s="317"/>
      <c r="I2" s="317"/>
      <c r="J2" s="317"/>
      <c r="K2" s="317"/>
      <c r="L2" s="274"/>
      <c r="M2" s="257"/>
      <c r="N2" s="264"/>
      <c r="O2" s="317" t="s">
        <v>316</v>
      </c>
      <c r="P2" s="317"/>
      <c r="Q2" s="317"/>
      <c r="R2" s="317"/>
      <c r="S2" s="317"/>
      <c r="T2" s="317"/>
      <c r="U2" s="317"/>
      <c r="V2" s="317"/>
      <c r="W2" s="317"/>
      <c r="X2" s="317"/>
      <c r="Y2" s="317"/>
      <c r="Z2" s="317"/>
      <c r="AA2" s="317"/>
      <c r="AB2" s="265"/>
      <c r="AC2" s="218"/>
    </row>
    <row r="3" spans="1:29" ht="15" customHeight="1" x14ac:dyDescent="0.3">
      <c r="A3" s="200"/>
      <c r="B3" s="266"/>
      <c r="C3" s="310"/>
      <c r="D3" s="310"/>
      <c r="E3" s="310"/>
      <c r="F3" s="310"/>
      <c r="G3" s="310"/>
      <c r="H3" s="310"/>
      <c r="I3" s="310"/>
      <c r="J3" s="310"/>
      <c r="K3" s="310"/>
      <c r="L3" s="275"/>
      <c r="M3" s="258"/>
      <c r="N3" s="266"/>
      <c r="O3" s="310"/>
      <c r="P3" s="310"/>
      <c r="Q3" s="310"/>
      <c r="R3" s="310"/>
      <c r="S3" s="310"/>
      <c r="T3" s="310"/>
      <c r="U3" s="310"/>
      <c r="V3" s="310"/>
      <c r="W3" s="310"/>
      <c r="X3" s="310"/>
      <c r="Y3" s="310"/>
      <c r="Z3" s="310"/>
      <c r="AA3" s="310"/>
      <c r="AB3" s="267"/>
      <c r="AC3" s="199"/>
    </row>
    <row r="4" spans="1:29" ht="15" customHeight="1" x14ac:dyDescent="0.3">
      <c r="A4" s="200"/>
      <c r="B4" s="266"/>
      <c r="C4" s="310"/>
      <c r="D4" s="310"/>
      <c r="E4" s="310"/>
      <c r="F4" s="310"/>
      <c r="G4" s="310"/>
      <c r="H4" s="310"/>
      <c r="I4" s="310"/>
      <c r="J4" s="310"/>
      <c r="K4" s="310"/>
      <c r="L4" s="275"/>
      <c r="M4" s="258"/>
      <c r="N4" s="266"/>
      <c r="O4" s="310"/>
      <c r="P4" s="310"/>
      <c r="Q4" s="310"/>
      <c r="R4" s="310"/>
      <c r="S4" s="310"/>
      <c r="T4" s="310"/>
      <c r="U4" s="310"/>
      <c r="V4" s="310"/>
      <c r="W4" s="310"/>
      <c r="X4" s="310"/>
      <c r="Y4" s="310"/>
      <c r="Z4" s="310"/>
      <c r="AA4" s="310"/>
      <c r="AB4" s="267"/>
      <c r="AC4" s="199"/>
    </row>
    <row r="5" spans="1:29" ht="15" customHeight="1" x14ac:dyDescent="0.3">
      <c r="A5" s="200"/>
      <c r="B5" s="266"/>
      <c r="C5" s="203"/>
      <c r="D5" s="318" t="s">
        <v>324</v>
      </c>
      <c r="E5" s="318"/>
      <c r="F5" s="318"/>
      <c r="G5" s="318"/>
      <c r="H5" s="318"/>
      <c r="I5" s="318"/>
      <c r="J5" s="204"/>
      <c r="K5" s="204"/>
      <c r="L5" s="276"/>
      <c r="M5" s="258"/>
      <c r="N5" s="266"/>
      <c r="O5" s="41"/>
      <c r="P5" s="41"/>
      <c r="Q5" s="41"/>
      <c r="R5" s="41"/>
      <c r="S5" s="41"/>
      <c r="T5" s="41"/>
      <c r="U5" s="41"/>
      <c r="V5" s="41"/>
      <c r="W5" s="41"/>
      <c r="X5" s="41"/>
      <c r="Y5" s="41"/>
      <c r="Z5" s="41"/>
      <c r="AA5" s="41"/>
      <c r="AB5" s="267"/>
      <c r="AC5" s="199"/>
    </row>
    <row r="6" spans="1:29" ht="15" customHeight="1" x14ac:dyDescent="0.3">
      <c r="A6" s="200"/>
      <c r="B6" s="266"/>
      <c r="C6" s="203"/>
      <c r="D6" s="318"/>
      <c r="E6" s="318"/>
      <c r="F6" s="318"/>
      <c r="G6" s="318"/>
      <c r="H6" s="318"/>
      <c r="I6" s="318"/>
      <c r="J6" s="204"/>
      <c r="K6" s="204"/>
      <c r="L6" s="276"/>
      <c r="M6" s="258"/>
      <c r="N6" s="266"/>
      <c r="O6" s="41"/>
      <c r="P6" s="41"/>
      <c r="Q6" s="41"/>
      <c r="R6" s="41"/>
      <c r="S6" s="41"/>
      <c r="T6" s="41"/>
      <c r="U6" s="41"/>
      <c r="V6" s="41"/>
      <c r="W6" s="41"/>
      <c r="X6" s="41"/>
      <c r="Y6" s="41"/>
      <c r="Z6" s="41"/>
      <c r="AA6" s="41"/>
      <c r="AB6" s="267"/>
      <c r="AC6" s="199"/>
    </row>
    <row r="7" spans="1:29" ht="15" customHeight="1" x14ac:dyDescent="0.3">
      <c r="A7" s="200"/>
      <c r="B7" s="266"/>
      <c r="C7" s="203"/>
      <c r="D7" s="121"/>
      <c r="E7" s="411" t="s">
        <v>268</v>
      </c>
      <c r="F7" s="411"/>
      <c r="G7" s="410" t="str">
        <f>'Sandwich UI'!W7</f>
        <v>12-inch</v>
      </c>
      <c r="H7" s="410"/>
      <c r="I7" s="410"/>
      <c r="J7" s="206"/>
      <c r="K7" s="203"/>
      <c r="L7" s="267"/>
      <c r="M7" s="258"/>
      <c r="N7" s="266"/>
      <c r="O7" s="41"/>
      <c r="P7" s="41"/>
      <c r="Q7" s="41"/>
      <c r="R7" s="41"/>
      <c r="S7" s="41"/>
      <c r="T7" s="41"/>
      <c r="U7" s="41"/>
      <c r="V7" s="41"/>
      <c r="W7" s="41"/>
      <c r="X7" s="41"/>
      <c r="Y7" s="41"/>
      <c r="Z7" s="41"/>
      <c r="AA7" s="41"/>
      <c r="AB7" s="267"/>
      <c r="AC7" s="199"/>
    </row>
    <row r="8" spans="1:29" ht="15" customHeight="1" x14ac:dyDescent="0.3">
      <c r="A8" s="200"/>
      <c r="B8" s="266"/>
      <c r="C8" s="203"/>
      <c r="D8" s="121"/>
      <c r="E8" s="411" t="s">
        <v>269</v>
      </c>
      <c r="F8" s="411"/>
      <c r="G8" s="410" t="str">
        <f>'Sandwich UI'!W8</f>
        <v>White Bread</v>
      </c>
      <c r="H8" s="410"/>
      <c r="I8" s="410"/>
      <c r="J8" s="206"/>
      <c r="K8" s="203"/>
      <c r="L8" s="267"/>
      <c r="M8" s="258"/>
      <c r="N8" s="266"/>
      <c r="O8" s="413"/>
      <c r="P8" s="413"/>
      <c r="Q8" s="413"/>
      <c r="R8" s="413"/>
      <c r="S8" s="413"/>
      <c r="T8" s="413"/>
      <c r="U8" s="413"/>
      <c r="V8" s="413"/>
      <c r="W8" s="413"/>
      <c r="X8" s="41"/>
      <c r="Y8" s="41"/>
      <c r="Z8" s="41"/>
      <c r="AA8" s="41"/>
      <c r="AB8" s="267"/>
      <c r="AC8" s="199"/>
    </row>
    <row r="9" spans="1:29" ht="15" customHeight="1" x14ac:dyDescent="0.3">
      <c r="A9" s="200"/>
      <c r="B9" s="266"/>
      <c r="C9" s="203"/>
      <c r="D9" s="121"/>
      <c r="E9" s="411" t="s">
        <v>266</v>
      </c>
      <c r="F9" s="411"/>
      <c r="G9" s="410" t="str">
        <f>'Sandwich UI'!W10</f>
        <v>BBQ Pulled Pork</v>
      </c>
      <c r="H9" s="410"/>
      <c r="I9" s="410"/>
      <c r="J9" s="206"/>
      <c r="K9" s="203"/>
      <c r="L9" s="267"/>
      <c r="M9" s="258"/>
      <c r="N9" s="266"/>
      <c r="O9" s="259"/>
      <c r="P9" s="259"/>
      <c r="Q9" s="259"/>
      <c r="R9" s="259"/>
      <c r="S9" s="259"/>
      <c r="T9" s="259"/>
      <c r="U9" s="259"/>
      <c r="V9" s="41"/>
      <c r="W9" s="41"/>
      <c r="X9" s="41"/>
      <c r="Y9" s="41"/>
      <c r="Z9" s="41"/>
      <c r="AA9" s="41"/>
      <c r="AB9" s="267"/>
      <c r="AC9" s="199"/>
    </row>
    <row r="10" spans="1:29" ht="15" customHeight="1" x14ac:dyDescent="0.3">
      <c r="A10" s="200"/>
      <c r="B10" s="266"/>
      <c r="C10" s="203"/>
      <c r="D10" s="121"/>
      <c r="E10" s="411" t="s">
        <v>237</v>
      </c>
      <c r="F10" s="411"/>
      <c r="G10" s="410" t="str" cm="1">
        <f t="array" ref="G10">IFERROR(_xlfn.TEXTJOIN(", ",TRUE, IFERROR(_xlfn._xlws.FILTER(CheeseSel[Cheese selected], TRUE=CheeseSel[TRUE / FALSE]), "")), "")</f>
        <v>Old English-Style Cheese</v>
      </c>
      <c r="H10" s="410"/>
      <c r="I10" s="410"/>
      <c r="J10" s="206"/>
      <c r="K10" s="203"/>
      <c r="L10" s="267"/>
      <c r="M10" s="258"/>
      <c r="N10" s="266"/>
      <c r="O10" s="260"/>
      <c r="P10" s="260"/>
      <c r="Q10" s="112" t="s">
        <v>324</v>
      </c>
      <c r="R10" s="112"/>
      <c r="S10" s="261" t="s">
        <v>159</v>
      </c>
      <c r="T10" s="261"/>
      <c r="U10" s="261" t="s">
        <v>325</v>
      </c>
      <c r="V10" s="41"/>
      <c r="W10" s="41"/>
      <c r="X10" s="41"/>
      <c r="Y10" s="41"/>
      <c r="Z10" s="41"/>
      <c r="AA10" s="41"/>
      <c r="AB10" s="267"/>
      <c r="AC10" s="199"/>
    </row>
    <row r="11" spans="1:29" ht="15" customHeight="1" x14ac:dyDescent="0.3">
      <c r="A11" s="200"/>
      <c r="B11" s="266"/>
      <c r="C11" s="203"/>
      <c r="D11" s="121"/>
      <c r="E11" s="411" t="s">
        <v>297</v>
      </c>
      <c r="F11" s="411"/>
      <c r="G11" s="410" t="str">
        <f>'Sandwich UI'!W14</f>
        <v/>
      </c>
      <c r="H11" s="410"/>
      <c r="I11" s="410"/>
      <c r="J11" s="206"/>
      <c r="K11" s="203"/>
      <c r="L11" s="267"/>
      <c r="M11" s="258"/>
      <c r="N11" s="266"/>
      <c r="O11" s="262" t="s">
        <v>227</v>
      </c>
      <c r="P11" s="103"/>
      <c r="Q11" s="271">
        <v>1</v>
      </c>
      <c r="R11" s="271"/>
      <c r="S11" s="272">
        <v>3</v>
      </c>
      <c r="T11" s="272"/>
      <c r="U11" s="273">
        <v>4</v>
      </c>
      <c r="V11" s="41"/>
      <c r="W11" s="41"/>
      <c r="X11" s="41"/>
      <c r="Y11" s="41"/>
      <c r="Z11" s="41"/>
      <c r="AA11" s="41"/>
      <c r="AB11" s="267"/>
      <c r="AC11" s="199"/>
    </row>
    <row r="12" spans="1:29" ht="15" customHeight="1" x14ac:dyDescent="0.3">
      <c r="A12" s="200"/>
      <c r="B12" s="266"/>
      <c r="C12" s="203"/>
      <c r="D12" s="203"/>
      <c r="E12" s="203"/>
      <c r="F12" s="203"/>
      <c r="G12" s="203"/>
      <c r="H12" s="203"/>
      <c r="I12" s="203"/>
      <c r="J12" s="207"/>
      <c r="K12" s="203"/>
      <c r="L12" s="277"/>
      <c r="M12" s="258"/>
      <c r="N12" s="266"/>
      <c r="O12" s="263" t="s">
        <v>140</v>
      </c>
      <c r="P12" s="105"/>
      <c r="Q12" s="271">
        <v>436.8</v>
      </c>
      <c r="R12" s="271"/>
      <c r="S12" s="272">
        <v>350</v>
      </c>
      <c r="T12" s="272"/>
      <c r="U12" s="273">
        <v>786.8</v>
      </c>
      <c r="V12" s="41"/>
      <c r="W12" s="41"/>
      <c r="X12" s="41"/>
      <c r="Y12" s="41"/>
      <c r="Z12" s="41"/>
      <c r="AA12" s="41"/>
      <c r="AB12" s="267"/>
      <c r="AC12" s="199"/>
    </row>
    <row r="13" spans="1:29" ht="15" customHeight="1" x14ac:dyDescent="0.3">
      <c r="A13" s="200"/>
      <c r="B13" s="266"/>
      <c r="C13" s="203"/>
      <c r="D13" s="121"/>
      <c r="E13" s="205" t="s">
        <v>240</v>
      </c>
      <c r="F13" s="205"/>
      <c r="G13" s="205" t="s">
        <v>213</v>
      </c>
      <c r="H13" s="205"/>
      <c r="I13" s="205" t="s">
        <v>278</v>
      </c>
      <c r="J13" s="208"/>
      <c r="K13" s="203"/>
      <c r="L13" s="278"/>
      <c r="M13" s="258"/>
      <c r="N13" s="266"/>
      <c r="O13" s="263" t="s">
        <v>141</v>
      </c>
      <c r="P13" s="105"/>
      <c r="Q13" s="271">
        <v>3902.3999999999996</v>
      </c>
      <c r="R13" s="271"/>
      <c r="S13" s="272">
        <v>3210</v>
      </c>
      <c r="T13" s="272"/>
      <c r="U13" s="273">
        <v>7112.4</v>
      </c>
      <c r="V13" s="41"/>
      <c r="W13" s="41"/>
      <c r="X13" s="41"/>
      <c r="Y13" s="41"/>
      <c r="Z13" s="41"/>
      <c r="AA13" s="41"/>
      <c r="AB13" s="267"/>
      <c r="AC13" s="199"/>
    </row>
    <row r="14" spans="1:29" ht="15" customHeight="1" x14ac:dyDescent="0.3">
      <c r="A14" s="200"/>
      <c r="B14" s="266"/>
      <c r="C14" s="203"/>
      <c r="D14" s="206"/>
      <c r="E14" s="209" t="str" cm="1">
        <f t="array" ref="E14">IFERROR(_xlfn._xlws.FILTER(ToppingSel[Toppings selected], TRUE=ToppingSel[TRUE / FALSE]), "")</f>
        <v/>
      </c>
      <c r="F14" s="209"/>
      <c r="G14" s="209" t="str" cm="1">
        <f t="array" ref="G14:G17">IFERROR(_xlfn._xlws.FILTER(VegSel[Vegetables selected], TRUE=VegSel[TRUE / FALSE]), "")</f>
        <v>Pineapple</v>
      </c>
      <c r="H14" s="209"/>
      <c r="I14" s="209" t="str" cm="1">
        <f t="array" ref="I14">_xlfn._xlws.FILTER(DressingSel[Dressings selected], TRUE = DressingSel[TRUE / FALSE]=TRUE, "")</f>
        <v>Honey Mustard Sauce</v>
      </c>
      <c r="J14" s="209"/>
      <c r="K14" s="210"/>
      <c r="L14" s="278"/>
      <c r="M14" s="258"/>
      <c r="N14" s="266"/>
      <c r="O14" s="263" t="s">
        <v>142</v>
      </c>
      <c r="P14" s="105"/>
      <c r="Q14" s="271">
        <v>935.00000000000011</v>
      </c>
      <c r="R14" s="271"/>
      <c r="S14" s="272">
        <v>764.4</v>
      </c>
      <c r="T14" s="272"/>
      <c r="U14" s="273">
        <v>1699.4</v>
      </c>
      <c r="V14" s="41"/>
      <c r="W14" s="41"/>
      <c r="X14" s="41"/>
      <c r="Y14" s="41"/>
      <c r="Z14" s="41"/>
      <c r="AA14" s="41"/>
      <c r="AB14" s="267"/>
      <c r="AC14" s="199"/>
    </row>
    <row r="15" spans="1:29" ht="15" customHeight="1" x14ac:dyDescent="0.3">
      <c r="A15" s="200"/>
      <c r="B15" s="266"/>
      <c r="C15" s="203"/>
      <c r="D15" s="206"/>
      <c r="E15" s="209"/>
      <c r="F15" s="209"/>
      <c r="G15" s="209" t="str">
        <v>Onions</v>
      </c>
      <c r="H15" s="209"/>
      <c r="I15" s="209"/>
      <c r="J15" s="209"/>
      <c r="K15" s="210"/>
      <c r="L15" s="278"/>
      <c r="M15" s="258"/>
      <c r="N15" s="266"/>
      <c r="O15" s="263" t="s">
        <v>143</v>
      </c>
      <c r="P15" s="105"/>
      <c r="Q15" s="271">
        <v>49.2</v>
      </c>
      <c r="R15" s="271"/>
      <c r="S15" s="272">
        <v>12.6</v>
      </c>
      <c r="T15" s="272"/>
      <c r="U15" s="273">
        <v>61.800000000000004</v>
      </c>
      <c r="V15" s="41"/>
      <c r="W15" s="41"/>
      <c r="X15" s="41"/>
      <c r="Y15" s="41"/>
      <c r="Z15" s="41"/>
      <c r="AA15" s="41"/>
      <c r="AB15" s="267"/>
      <c r="AC15" s="199"/>
    </row>
    <row r="16" spans="1:29" ht="15" customHeight="1" x14ac:dyDescent="0.3">
      <c r="A16" s="200"/>
      <c r="B16" s="266"/>
      <c r="C16" s="203"/>
      <c r="D16" s="206"/>
      <c r="E16" s="206"/>
      <c r="F16" s="209"/>
      <c r="G16" s="209" t="str">
        <v>Lettuce</v>
      </c>
      <c r="H16" s="209"/>
      <c r="I16" s="209"/>
      <c r="J16" s="209"/>
      <c r="K16" s="210"/>
      <c r="L16" s="278"/>
      <c r="M16" s="258"/>
      <c r="N16" s="266"/>
      <c r="O16" s="263" t="s">
        <v>144</v>
      </c>
      <c r="P16" s="105"/>
      <c r="Q16" s="271">
        <v>31.2</v>
      </c>
      <c r="R16" s="271"/>
      <c r="S16" s="272">
        <v>31.2</v>
      </c>
      <c r="T16" s="272"/>
      <c r="U16" s="273">
        <v>62.4</v>
      </c>
      <c r="V16" s="41"/>
      <c r="W16" s="41"/>
      <c r="X16" s="41"/>
      <c r="Y16" s="41"/>
      <c r="Z16" s="41"/>
      <c r="AA16" s="41"/>
      <c r="AB16" s="267"/>
      <c r="AC16" s="199"/>
    </row>
    <row r="17" spans="1:29" ht="15" customHeight="1" x14ac:dyDescent="0.3">
      <c r="A17" s="200"/>
      <c r="B17" s="266"/>
      <c r="C17" s="203"/>
      <c r="D17" s="206"/>
      <c r="E17" s="206"/>
      <c r="F17" s="209"/>
      <c r="G17" s="209" t="str">
        <v>Capsicum</v>
      </c>
      <c r="H17" s="209"/>
      <c r="I17" s="209"/>
      <c r="J17" s="209"/>
      <c r="K17" s="210"/>
      <c r="L17" s="278"/>
      <c r="M17" s="258"/>
      <c r="N17" s="266"/>
      <c r="O17" s="263" t="s">
        <v>145</v>
      </c>
      <c r="P17" s="105"/>
      <c r="Q17" s="271">
        <v>12.8</v>
      </c>
      <c r="R17" s="271"/>
      <c r="S17" s="272">
        <v>18.2</v>
      </c>
      <c r="T17" s="272"/>
      <c r="U17" s="273">
        <v>31</v>
      </c>
      <c r="V17" s="41"/>
      <c r="W17" s="41"/>
      <c r="X17" s="41"/>
      <c r="Y17" s="41"/>
      <c r="Z17" s="41"/>
      <c r="AA17" s="41"/>
      <c r="AB17" s="267"/>
      <c r="AC17" s="199"/>
    </row>
    <row r="18" spans="1:29" ht="15" customHeight="1" x14ac:dyDescent="0.3">
      <c r="A18" s="200"/>
      <c r="B18" s="266"/>
      <c r="C18" s="203"/>
      <c r="D18" s="206"/>
      <c r="E18" s="206"/>
      <c r="F18" s="209"/>
      <c r="G18" s="209"/>
      <c r="H18" s="209"/>
      <c r="I18" s="209"/>
      <c r="J18" s="209"/>
      <c r="K18" s="210"/>
      <c r="L18" s="278"/>
      <c r="M18" s="258"/>
      <c r="N18" s="266"/>
      <c r="O18" s="263" t="s">
        <v>146</v>
      </c>
      <c r="P18" s="105"/>
      <c r="Q18" s="271">
        <v>113.00000000000001</v>
      </c>
      <c r="R18" s="271"/>
      <c r="S18" s="272">
        <v>105.3</v>
      </c>
      <c r="T18" s="272"/>
      <c r="U18" s="273">
        <v>218.3</v>
      </c>
      <c r="V18" s="41"/>
      <c r="W18" s="41"/>
      <c r="X18" s="41"/>
      <c r="Y18" s="41"/>
      <c r="Z18" s="41"/>
      <c r="AA18" s="41"/>
      <c r="AB18" s="267"/>
      <c r="AC18" s="199"/>
    </row>
    <row r="19" spans="1:29" ht="15" customHeight="1" x14ac:dyDescent="0.3">
      <c r="A19" s="200"/>
      <c r="B19" s="266"/>
      <c r="C19" s="203"/>
      <c r="D19" s="206"/>
      <c r="E19" s="206"/>
      <c r="F19" s="209"/>
      <c r="G19" s="209"/>
      <c r="H19" s="209"/>
      <c r="I19" s="209"/>
      <c r="J19" s="209"/>
      <c r="K19" s="210"/>
      <c r="L19" s="278"/>
      <c r="M19" s="258"/>
      <c r="N19" s="266"/>
      <c r="O19" s="263" t="s">
        <v>147</v>
      </c>
      <c r="P19" s="105"/>
      <c r="Q19" s="271">
        <v>35.200000000000003</v>
      </c>
      <c r="R19" s="271"/>
      <c r="S19" s="272">
        <v>46.2</v>
      </c>
      <c r="T19" s="272"/>
      <c r="U19" s="273">
        <v>81.400000000000006</v>
      </c>
      <c r="V19" s="41"/>
      <c r="W19" s="41"/>
      <c r="X19" s="41"/>
      <c r="Y19" s="41"/>
      <c r="Z19" s="41"/>
      <c r="AA19" s="41"/>
      <c r="AB19" s="267"/>
      <c r="AC19" s="199"/>
    </row>
    <row r="20" spans="1:29" ht="15" customHeight="1" x14ac:dyDescent="0.3">
      <c r="A20" s="200"/>
      <c r="B20" s="266"/>
      <c r="C20" s="203"/>
      <c r="D20" s="206"/>
      <c r="E20" s="206"/>
      <c r="F20" s="209"/>
      <c r="G20" s="209"/>
      <c r="H20" s="209"/>
      <c r="I20" s="209"/>
      <c r="J20" s="209"/>
      <c r="K20" s="210"/>
      <c r="L20" s="278"/>
      <c r="M20" s="258"/>
      <c r="N20" s="266"/>
      <c r="O20" s="263" t="s">
        <v>148</v>
      </c>
      <c r="P20" s="105"/>
      <c r="Q20" s="271">
        <v>5</v>
      </c>
      <c r="R20" s="271"/>
      <c r="S20" s="272">
        <v>1.1000000000000001</v>
      </c>
      <c r="T20" s="272"/>
      <c r="U20" s="273">
        <v>6.1</v>
      </c>
      <c r="V20" s="41"/>
      <c r="W20" s="41"/>
      <c r="X20" s="41"/>
      <c r="Y20" s="41"/>
      <c r="Z20" s="41"/>
      <c r="AA20" s="41"/>
      <c r="AB20" s="267"/>
      <c r="AC20" s="199"/>
    </row>
    <row r="21" spans="1:29" ht="15" customHeight="1" x14ac:dyDescent="0.3">
      <c r="A21" s="200"/>
      <c r="B21" s="266"/>
      <c r="C21" s="203"/>
      <c r="D21" s="206"/>
      <c r="E21" s="206"/>
      <c r="F21" s="209"/>
      <c r="G21" s="209"/>
      <c r="H21" s="209"/>
      <c r="I21" s="209"/>
      <c r="J21" s="209"/>
      <c r="K21" s="210"/>
      <c r="L21" s="278"/>
      <c r="M21" s="258"/>
      <c r="N21" s="266"/>
      <c r="O21" s="263" t="s">
        <v>149</v>
      </c>
      <c r="P21" s="105"/>
      <c r="Q21" s="271">
        <v>2330.8000000000002</v>
      </c>
      <c r="R21" s="271"/>
      <c r="S21" s="272">
        <v>734</v>
      </c>
      <c r="T21" s="272"/>
      <c r="U21" s="273">
        <v>3064.8</v>
      </c>
      <c r="V21" s="413"/>
      <c r="W21" s="413"/>
      <c r="X21" s="413"/>
      <c r="Y21" s="413"/>
      <c r="Z21" s="413"/>
      <c r="AA21" s="413"/>
      <c r="AB21" s="267"/>
      <c r="AC21" s="199"/>
    </row>
    <row r="22" spans="1:29" ht="15" customHeight="1" x14ac:dyDescent="0.3">
      <c r="A22" s="200"/>
      <c r="B22" s="266"/>
      <c r="C22" s="203"/>
      <c r="D22" s="206"/>
      <c r="E22" s="206"/>
      <c r="F22" s="211"/>
      <c r="G22" s="209"/>
      <c r="H22" s="209"/>
      <c r="I22" s="209"/>
      <c r="J22" s="209"/>
      <c r="K22" s="210"/>
      <c r="L22" s="278"/>
      <c r="M22" s="258"/>
      <c r="N22" s="268"/>
      <c r="O22" s="269"/>
      <c r="P22" s="269"/>
      <c r="Q22" s="269"/>
      <c r="R22" s="269"/>
      <c r="S22" s="269"/>
      <c r="T22" s="269"/>
      <c r="U22" s="269"/>
      <c r="V22" s="269"/>
      <c r="W22" s="269"/>
      <c r="X22" s="269"/>
      <c r="Y22" s="269"/>
      <c r="Z22" s="269"/>
      <c r="AA22" s="269"/>
      <c r="AB22" s="270"/>
      <c r="AC22" s="412"/>
    </row>
    <row r="23" spans="1:29" ht="15" customHeight="1" x14ac:dyDescent="0.3">
      <c r="A23" s="200"/>
      <c r="B23" s="266"/>
      <c r="C23" s="203"/>
      <c r="D23" s="206"/>
      <c r="E23" s="206"/>
      <c r="F23" s="209"/>
      <c r="G23" s="209"/>
      <c r="H23" s="209"/>
      <c r="I23" s="209"/>
      <c r="J23" s="209"/>
      <c r="K23" s="210"/>
      <c r="L23" s="278"/>
      <c r="M23" s="199"/>
      <c r="N23" s="253"/>
      <c r="O23" s="256"/>
      <c r="P23" s="256"/>
      <c r="Q23" s="256"/>
      <c r="R23" s="256"/>
      <c r="S23" s="256"/>
      <c r="T23" s="256"/>
      <c r="U23" s="256"/>
      <c r="V23" s="253"/>
      <c r="W23" s="253"/>
      <c r="X23" s="253"/>
      <c r="Y23" s="253"/>
      <c r="Z23" s="253"/>
      <c r="AA23" s="253"/>
      <c r="AB23" s="253"/>
      <c r="AC23" s="254"/>
    </row>
    <row r="24" spans="1:29" s="196" customFormat="1" ht="15" customHeight="1" x14ac:dyDescent="0.3">
      <c r="A24" s="201"/>
      <c r="B24" s="266"/>
      <c r="C24" s="203"/>
      <c r="D24" s="206"/>
      <c r="E24" s="206"/>
      <c r="F24" s="211"/>
      <c r="G24" s="209"/>
      <c r="H24" s="209"/>
      <c r="I24" s="209"/>
      <c r="J24" s="209"/>
      <c r="K24" s="210"/>
      <c r="L24" s="278"/>
      <c r="M24" s="202"/>
      <c r="N24" s="253"/>
      <c r="O24" s="253"/>
      <c r="P24" s="253"/>
      <c r="Q24" s="253"/>
      <c r="R24" s="253"/>
      <c r="S24" s="253"/>
      <c r="T24" s="253"/>
      <c r="U24" s="253"/>
      <c r="V24" s="253"/>
      <c r="W24" s="253"/>
      <c r="X24" s="253"/>
      <c r="Y24" s="253"/>
      <c r="Z24" s="253"/>
      <c r="AA24" s="253"/>
      <c r="AB24" s="253"/>
      <c r="AC24" s="255"/>
    </row>
    <row r="25" spans="1:29" ht="15" customHeight="1" x14ac:dyDescent="0.3">
      <c r="A25" s="200"/>
      <c r="B25" s="266"/>
      <c r="C25" s="203"/>
      <c r="D25" s="206"/>
      <c r="E25" s="206"/>
      <c r="F25" s="211"/>
      <c r="G25" s="209"/>
      <c r="H25" s="209"/>
      <c r="I25" s="209"/>
      <c r="J25" s="209"/>
      <c r="K25" s="210"/>
      <c r="L25" s="278"/>
      <c r="M25" s="199"/>
    </row>
    <row r="26" spans="1:29" ht="15" customHeight="1" x14ac:dyDescent="0.3">
      <c r="A26" s="200"/>
      <c r="B26" s="266"/>
      <c r="C26" s="203"/>
      <c r="D26" s="206"/>
      <c r="E26" s="206"/>
      <c r="F26" s="209"/>
      <c r="G26" s="209"/>
      <c r="H26" s="209"/>
      <c r="I26" s="209"/>
      <c r="J26" s="209"/>
      <c r="K26" s="210"/>
      <c r="L26" s="278"/>
      <c r="M26" s="199"/>
    </row>
    <row r="27" spans="1:29" ht="15" customHeight="1" x14ac:dyDescent="0.3">
      <c r="A27" s="200"/>
      <c r="B27" s="266"/>
      <c r="C27" s="203"/>
      <c r="D27" s="206"/>
      <c r="E27" s="206"/>
      <c r="F27" s="209"/>
      <c r="G27" s="209"/>
      <c r="H27" s="209"/>
      <c r="I27" s="209"/>
      <c r="J27" s="209"/>
      <c r="K27" s="210"/>
      <c r="L27" s="278"/>
      <c r="M27" s="199"/>
    </row>
    <row r="28" spans="1:29" ht="15" customHeight="1" x14ac:dyDescent="0.3">
      <c r="A28" s="200"/>
      <c r="B28" s="266"/>
      <c r="C28" s="203"/>
      <c r="D28" s="206"/>
      <c r="E28" s="206"/>
      <c r="F28" s="209"/>
      <c r="G28" s="209"/>
      <c r="H28" s="209"/>
      <c r="I28" s="209"/>
      <c r="J28" s="209"/>
      <c r="K28" s="210"/>
      <c r="L28" s="278"/>
      <c r="M28" s="199"/>
    </row>
    <row r="29" spans="1:29" ht="15" customHeight="1" x14ac:dyDescent="0.3">
      <c r="A29" s="200"/>
      <c r="B29" s="266"/>
      <c r="C29" s="203"/>
      <c r="D29" s="206"/>
      <c r="E29" s="206"/>
      <c r="F29" s="209"/>
      <c r="G29" s="209"/>
      <c r="H29" s="209"/>
      <c r="I29" s="209"/>
      <c r="J29" s="209"/>
      <c r="K29" s="210"/>
      <c r="L29" s="278"/>
      <c r="M29" s="199"/>
    </row>
    <row r="30" spans="1:29" ht="15" customHeight="1" x14ac:dyDescent="0.3">
      <c r="A30" s="200"/>
      <c r="B30" s="266"/>
      <c r="C30" s="203"/>
      <c r="D30" s="206"/>
      <c r="E30" s="206"/>
      <c r="F30" s="209"/>
      <c r="G30" s="209"/>
      <c r="H30" s="209"/>
      <c r="I30" s="209"/>
      <c r="J30" s="209"/>
      <c r="K30" s="210"/>
      <c r="L30" s="278"/>
      <c r="M30" s="199"/>
    </row>
    <row r="31" spans="1:29" ht="15" customHeight="1" x14ac:dyDescent="0.3">
      <c r="A31" s="200"/>
      <c r="B31" s="266"/>
      <c r="C31" s="203"/>
      <c r="D31" s="203"/>
      <c r="E31" s="203"/>
      <c r="F31" s="203"/>
      <c r="G31" s="203"/>
      <c r="H31" s="203"/>
      <c r="I31" s="203"/>
      <c r="J31" s="203"/>
      <c r="K31" s="203"/>
      <c r="L31" s="267"/>
      <c r="M31" s="199"/>
    </row>
    <row r="32" spans="1:29" ht="15" customHeight="1" x14ac:dyDescent="0.3">
      <c r="A32" s="200"/>
      <c r="B32" s="266"/>
      <c r="C32" s="41"/>
      <c r="D32" s="41"/>
      <c r="E32" s="41"/>
      <c r="F32" s="41"/>
      <c r="G32" s="41"/>
      <c r="H32" s="41"/>
      <c r="I32" s="41"/>
      <c r="J32" s="41"/>
      <c r="K32" s="41"/>
      <c r="L32" s="267"/>
      <c r="M32" s="199"/>
    </row>
    <row r="33" spans="1:13" ht="15" customHeight="1" x14ac:dyDescent="0.3">
      <c r="A33" s="200"/>
      <c r="B33" s="266"/>
      <c r="C33" s="416"/>
      <c r="D33" s="319" t="s">
        <v>159</v>
      </c>
      <c r="E33" s="319"/>
      <c r="F33" s="319"/>
      <c r="G33" s="319"/>
      <c r="H33" s="319"/>
      <c r="I33" s="319"/>
      <c r="J33" s="319"/>
      <c r="K33" s="415"/>
      <c r="L33" s="267"/>
      <c r="M33" s="199"/>
    </row>
    <row r="34" spans="1:13" ht="15" customHeight="1" x14ac:dyDescent="0.3">
      <c r="A34" s="200"/>
      <c r="B34" s="266"/>
      <c r="C34" s="415"/>
      <c r="D34" s="319"/>
      <c r="E34" s="319"/>
      <c r="F34" s="319"/>
      <c r="G34" s="319"/>
      <c r="H34" s="319"/>
      <c r="I34" s="319"/>
      <c r="J34" s="319"/>
      <c r="K34" s="415"/>
      <c r="L34" s="279"/>
      <c r="M34" s="199"/>
    </row>
    <row r="35" spans="1:13" ht="15" customHeight="1" x14ac:dyDescent="0.3">
      <c r="A35" s="200"/>
      <c r="B35" s="266"/>
      <c r="C35" s="203"/>
      <c r="D35" s="121"/>
      <c r="E35" s="391" t="s">
        <v>326</v>
      </c>
      <c r="F35" s="212"/>
      <c r="G35" s="212"/>
      <c r="H35" s="212"/>
      <c r="I35" s="213" t="s">
        <v>327</v>
      </c>
      <c r="J35" s="121"/>
      <c r="K35" s="203"/>
      <c r="L35" s="267"/>
      <c r="M35" s="199"/>
    </row>
    <row r="36" spans="1:13" ht="15" customHeight="1" x14ac:dyDescent="0.3">
      <c r="A36" s="200"/>
      <c r="B36" s="266"/>
      <c r="C36" s="203"/>
      <c r="D36" s="80"/>
      <c r="E36" s="86" t="str" cm="1">
        <f t="array" ref="E36:E37">_xlfn._xlws.FILTER(_xlfn.VSTACK('Sides UI'!X8:X10, 'Sides UI'!X12:X16, 'Sides UI'!X19:X21, 'Sides UI'!X23:X25, 'Sides UI'!X28:X33),LEN(_xlfn.VSTACK('Sides UI'!X8:X10, 'Sides UI'!X12:X16, 'Sides UI'!X19:X21, 'Sides UI'!X23:X25, 'Sides UI'!X28:X33))&gt;0, "")</f>
        <v>Apple &amp; Custard Danish</v>
      </c>
      <c r="F36" s="87"/>
      <c r="G36" s="87"/>
      <c r="H36" s="87"/>
      <c r="I36" s="80" cm="1">
        <f t="array" aca="1" ref="I36:I37" ca="1">_xlfn._xlws.FILTER(_xlfn.VSTACK('Sides UI'!Z8:Z10, 'Sides UI'!Z12:Z16, 'Sides UI'!Z19:Z21, 'Sides UI'!Z23:Z25, 'Sides UI'!Z28:Z33),LEN(_xlfn.VSTACK('Sides UI'!Z8:Z10, 'Sides UI'!Z12:Z16, 'Sides UI'!Z19:Z21, 'Sides UI'!Z23:Z25, 'Sides UI'!Z28:Z33))&gt;0, "")</f>
        <v>2</v>
      </c>
      <c r="J36" s="80"/>
      <c r="K36" s="214"/>
      <c r="L36" s="280"/>
      <c r="M36" s="199"/>
    </row>
    <row r="37" spans="1:13" ht="15" customHeight="1" x14ac:dyDescent="0.3">
      <c r="A37" s="200"/>
      <c r="B37" s="266"/>
      <c r="C37" s="203"/>
      <c r="D37" s="206"/>
      <c r="E37" s="414" t="str">
        <v>Wattie's Fruit Squirtz, Apple &amp; Blackcurrant</v>
      </c>
      <c r="F37" s="392"/>
      <c r="G37" s="392"/>
      <c r="H37" s="392"/>
      <c r="I37" s="80">
        <f ca="1"/>
        <v>1</v>
      </c>
      <c r="J37" s="206"/>
      <c r="K37" s="215"/>
      <c r="L37" s="280"/>
      <c r="M37" s="199"/>
    </row>
    <row r="38" spans="1:13" ht="15" customHeight="1" x14ac:dyDescent="0.3">
      <c r="A38" s="200"/>
      <c r="B38" s="266"/>
      <c r="C38" s="203"/>
      <c r="D38" s="206"/>
      <c r="E38" s="414"/>
      <c r="F38" s="392"/>
      <c r="G38" s="392"/>
      <c r="H38" s="392"/>
      <c r="I38" s="80"/>
      <c r="J38" s="206"/>
      <c r="K38" s="215"/>
      <c r="L38" s="267"/>
      <c r="M38" s="199"/>
    </row>
    <row r="39" spans="1:13" ht="15" customHeight="1" x14ac:dyDescent="0.3">
      <c r="A39" s="200"/>
      <c r="B39" s="266"/>
      <c r="C39" s="203"/>
      <c r="D39" s="80"/>
      <c r="E39" s="86"/>
      <c r="F39" s="87"/>
      <c r="G39" s="87"/>
      <c r="H39" s="87"/>
      <c r="I39" s="80"/>
      <c r="J39" s="80"/>
      <c r="K39" s="203"/>
      <c r="L39" s="279"/>
      <c r="M39" s="199"/>
    </row>
    <row r="40" spans="1:13" ht="15" customHeight="1" x14ac:dyDescent="0.3">
      <c r="A40" s="200"/>
      <c r="B40" s="266"/>
      <c r="C40" s="203"/>
      <c r="D40" s="206"/>
      <c r="E40" s="414"/>
      <c r="F40" s="392"/>
      <c r="G40" s="392"/>
      <c r="H40" s="392"/>
      <c r="I40" s="80"/>
      <c r="J40" s="206"/>
      <c r="K40" s="214"/>
      <c r="L40" s="280"/>
      <c r="M40" s="199"/>
    </row>
    <row r="41" spans="1:13" ht="15" customHeight="1" x14ac:dyDescent="0.3">
      <c r="A41" s="200"/>
      <c r="B41" s="266"/>
      <c r="C41" s="203"/>
      <c r="D41" s="206"/>
      <c r="E41" s="414"/>
      <c r="F41" s="392"/>
      <c r="G41" s="392"/>
      <c r="H41" s="392"/>
      <c r="I41" s="80"/>
      <c r="J41" s="206"/>
      <c r="K41" s="215"/>
      <c r="L41" s="280"/>
      <c r="M41" s="199"/>
    </row>
    <row r="42" spans="1:13" ht="15" customHeight="1" x14ac:dyDescent="0.3">
      <c r="A42" s="200"/>
      <c r="B42" s="266"/>
      <c r="C42" s="203"/>
      <c r="D42" s="206"/>
      <c r="E42" s="414"/>
      <c r="F42" s="392"/>
      <c r="G42" s="392"/>
      <c r="H42" s="392"/>
      <c r="I42" s="80"/>
      <c r="J42" s="206"/>
      <c r="K42" s="215"/>
      <c r="L42" s="280"/>
      <c r="M42" s="199"/>
    </row>
    <row r="43" spans="1:13" ht="15" customHeight="1" x14ac:dyDescent="0.3">
      <c r="A43" s="200"/>
      <c r="B43" s="266"/>
      <c r="C43" s="203"/>
      <c r="D43" s="206"/>
      <c r="E43" s="414"/>
      <c r="F43" s="392"/>
      <c r="G43" s="392"/>
      <c r="H43" s="392"/>
      <c r="I43" s="80"/>
      <c r="J43" s="206"/>
      <c r="K43" s="215"/>
      <c r="L43" s="280"/>
      <c r="M43" s="199"/>
    </row>
    <row r="44" spans="1:13" ht="15" customHeight="1" x14ac:dyDescent="0.3">
      <c r="A44" s="200"/>
      <c r="B44" s="266"/>
      <c r="C44" s="203"/>
      <c r="D44" s="80"/>
      <c r="E44" s="86"/>
      <c r="F44" s="87"/>
      <c r="G44" s="87"/>
      <c r="H44" s="87"/>
      <c r="I44" s="80"/>
      <c r="J44" s="80"/>
      <c r="K44" s="215"/>
      <c r="L44" s="267"/>
      <c r="M44" s="199"/>
    </row>
    <row r="45" spans="1:13" ht="15" customHeight="1" x14ac:dyDescent="0.3">
      <c r="A45" s="200"/>
      <c r="B45" s="266"/>
      <c r="C45" s="203"/>
      <c r="D45" s="206"/>
      <c r="E45" s="414"/>
      <c r="F45" s="392"/>
      <c r="G45" s="392"/>
      <c r="H45" s="392"/>
      <c r="I45" s="80"/>
      <c r="J45" s="206"/>
      <c r="K45" s="203"/>
      <c r="L45" s="267"/>
      <c r="M45" s="199"/>
    </row>
    <row r="46" spans="1:13" ht="15" customHeight="1" x14ac:dyDescent="0.3">
      <c r="A46" s="200"/>
      <c r="B46" s="266"/>
      <c r="C46" s="203"/>
      <c r="D46" s="206"/>
      <c r="E46" s="414"/>
      <c r="F46" s="392"/>
      <c r="G46" s="392"/>
      <c r="H46" s="392"/>
      <c r="I46" s="80"/>
      <c r="J46" s="206"/>
      <c r="K46" s="216"/>
      <c r="L46" s="281"/>
      <c r="M46" s="199"/>
    </row>
    <row r="47" spans="1:13" ht="15" customHeight="1" x14ac:dyDescent="0.3">
      <c r="A47" s="200"/>
      <c r="B47" s="266"/>
      <c r="C47" s="203"/>
      <c r="D47" s="80"/>
      <c r="E47" s="86"/>
      <c r="F47" s="87"/>
      <c r="G47" s="87"/>
      <c r="H47" s="87"/>
      <c r="I47" s="80"/>
      <c r="J47" s="80"/>
      <c r="K47" s="216"/>
      <c r="L47" s="281"/>
      <c r="M47" s="199"/>
    </row>
    <row r="48" spans="1:13" ht="15" customHeight="1" x14ac:dyDescent="0.3">
      <c r="A48" s="200"/>
      <c r="B48" s="266"/>
      <c r="C48" s="203"/>
      <c r="D48" s="206"/>
      <c r="E48" s="414"/>
      <c r="F48" s="392"/>
      <c r="G48" s="392"/>
      <c r="H48" s="392"/>
      <c r="I48" s="80"/>
      <c r="J48" s="206"/>
      <c r="K48" s="216"/>
      <c r="L48" s="281"/>
      <c r="M48" s="199"/>
    </row>
    <row r="49" spans="1:13" ht="15" customHeight="1" x14ac:dyDescent="0.3">
      <c r="A49" s="200"/>
      <c r="B49" s="266"/>
      <c r="C49" s="203"/>
      <c r="D49" s="206"/>
      <c r="E49" s="414"/>
      <c r="F49" s="392"/>
      <c r="G49" s="392"/>
      <c r="H49" s="392"/>
      <c r="I49" s="80"/>
      <c r="J49" s="206"/>
      <c r="K49" s="203"/>
      <c r="L49" s="267"/>
      <c r="M49" s="199"/>
    </row>
    <row r="50" spans="1:13" ht="15" customHeight="1" x14ac:dyDescent="0.3">
      <c r="A50" s="200"/>
      <c r="B50" s="266"/>
      <c r="C50" s="203"/>
      <c r="D50" s="80"/>
      <c r="E50" s="86"/>
      <c r="F50" s="87"/>
      <c r="G50" s="87"/>
      <c r="H50" s="87"/>
      <c r="I50" s="80"/>
      <c r="J50" s="80"/>
      <c r="K50" s="216"/>
      <c r="L50" s="281"/>
      <c r="M50" s="199"/>
    </row>
    <row r="51" spans="1:13" ht="15" customHeight="1" x14ac:dyDescent="0.3">
      <c r="A51" s="200"/>
      <c r="B51" s="266"/>
      <c r="C51" s="203"/>
      <c r="D51" s="86"/>
      <c r="E51" s="86"/>
      <c r="F51" s="87"/>
      <c r="G51" s="87"/>
      <c r="H51" s="87"/>
      <c r="I51" s="80"/>
      <c r="J51" s="86"/>
      <c r="K51" s="216"/>
      <c r="L51" s="281"/>
      <c r="M51" s="199"/>
    </row>
    <row r="52" spans="1:13" ht="15" customHeight="1" x14ac:dyDescent="0.3">
      <c r="A52" s="200"/>
      <c r="B52" s="266"/>
      <c r="C52" s="203"/>
      <c r="D52" s="86"/>
      <c r="E52" s="86"/>
      <c r="F52" s="87"/>
      <c r="G52" s="87"/>
      <c r="H52" s="87"/>
      <c r="I52" s="80"/>
      <c r="J52" s="86"/>
      <c r="K52" s="216"/>
      <c r="L52" s="281"/>
      <c r="M52" s="199"/>
    </row>
    <row r="53" spans="1:13" ht="15" customHeight="1" x14ac:dyDescent="0.3">
      <c r="A53" s="200"/>
      <c r="B53" s="266"/>
      <c r="C53" s="203"/>
      <c r="D53" s="86"/>
      <c r="E53" s="86"/>
      <c r="F53" s="87"/>
      <c r="G53" s="87"/>
      <c r="H53" s="87"/>
      <c r="I53" s="80"/>
      <c r="J53" s="86"/>
      <c r="K53" s="203"/>
      <c r="L53" s="267"/>
      <c r="M53" s="199"/>
    </row>
    <row r="54" spans="1:13" ht="15" customHeight="1" x14ac:dyDescent="0.3">
      <c r="A54" s="200"/>
      <c r="B54" s="266"/>
      <c r="C54" s="203"/>
      <c r="D54" s="86"/>
      <c r="E54" s="86"/>
      <c r="F54" s="87"/>
      <c r="G54" s="87"/>
      <c r="H54" s="87"/>
      <c r="I54" s="80"/>
      <c r="J54" s="86"/>
      <c r="K54" s="215"/>
      <c r="L54" s="267"/>
      <c r="M54" s="199"/>
    </row>
    <row r="55" spans="1:13" ht="15" customHeight="1" x14ac:dyDescent="0.3">
      <c r="A55" s="200"/>
      <c r="B55" s="266"/>
      <c r="C55" s="203"/>
      <c r="D55" s="86"/>
      <c r="E55" s="86"/>
      <c r="F55" s="87"/>
      <c r="G55" s="87"/>
      <c r="H55" s="87"/>
      <c r="I55" s="80"/>
      <c r="J55" s="86"/>
      <c r="K55" s="215"/>
      <c r="L55" s="280"/>
      <c r="M55" s="199"/>
    </row>
    <row r="56" spans="1:13" ht="15" customHeight="1" x14ac:dyDescent="0.3">
      <c r="A56" s="200"/>
      <c r="B56" s="266"/>
      <c r="C56" s="203"/>
      <c r="D56" s="203"/>
      <c r="E56" s="203"/>
      <c r="F56" s="203"/>
      <c r="G56" s="203"/>
      <c r="H56" s="203"/>
      <c r="I56" s="203"/>
      <c r="J56" s="203"/>
      <c r="K56" s="215"/>
      <c r="L56" s="280"/>
      <c r="M56" s="199"/>
    </row>
    <row r="57" spans="1:13" s="196" customFormat="1" ht="15" customHeight="1" x14ac:dyDescent="0.3">
      <c r="A57" s="201"/>
      <c r="B57" s="268"/>
      <c r="C57" s="282"/>
      <c r="D57" s="269"/>
      <c r="E57" s="269"/>
      <c r="F57" s="269"/>
      <c r="G57" s="269"/>
      <c r="H57" s="269"/>
      <c r="I57" s="269"/>
      <c r="J57" s="269"/>
      <c r="K57" s="269"/>
      <c r="L57" s="270"/>
      <c r="M57" s="202"/>
    </row>
  </sheetData>
  <mergeCells count="14">
    <mergeCell ref="D33:J34"/>
    <mergeCell ref="O2:AA4"/>
    <mergeCell ref="C2:K4"/>
    <mergeCell ref="D5:I6"/>
    <mergeCell ref="G10:I10"/>
    <mergeCell ref="G7:I7"/>
    <mergeCell ref="G8:I8"/>
    <mergeCell ref="G9:I9"/>
    <mergeCell ref="G11:I11"/>
    <mergeCell ref="E7:F7"/>
    <mergeCell ref="E8:F8"/>
    <mergeCell ref="E9:F9"/>
    <mergeCell ref="E10:F10"/>
    <mergeCell ref="E11:F11"/>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clearSandwichSelectionButtonMeal">
                <anchor moveWithCells="1">
                  <from>
                    <xdr:col>15</xdr:col>
                    <xdr:colOff>82550</xdr:colOff>
                    <xdr:row>4</xdr:row>
                    <xdr:rowOff>0</xdr:rowOff>
                  </from>
                  <to>
                    <xdr:col>18</xdr:col>
                    <xdr:colOff>330200</xdr:colOff>
                    <xdr:row>7</xdr:row>
                    <xdr:rowOff>0</xdr:rowOff>
                  </to>
                </anchor>
              </controlPr>
            </control>
          </mc:Choice>
        </mc:AlternateContent>
        <mc:AlternateContent xmlns:mc="http://schemas.openxmlformats.org/markup-compatibility/2006">
          <mc:Choice Requires="x14">
            <control shapeId="32770" r:id="rId5" name="Button 2">
              <controlPr defaultSize="0" print="0" autoFill="0" autoPict="0" macro="[0]!clearSideSelectionButtonMeal">
                <anchor moveWithCells="1">
                  <from>
                    <xdr:col>14</xdr:col>
                    <xdr:colOff>0</xdr:colOff>
                    <xdr:row>4</xdr:row>
                    <xdr:rowOff>0</xdr:rowOff>
                  </from>
                  <to>
                    <xdr:col>15</xdr:col>
                    <xdr:colOff>0</xdr:colOff>
                    <xdr:row>7</xdr:row>
                    <xdr:rowOff>0</xdr:rowOff>
                  </to>
                </anchor>
              </controlPr>
            </control>
          </mc:Choice>
        </mc:AlternateContent>
        <mc:AlternateContent xmlns:mc="http://schemas.openxmlformats.org/markup-compatibility/2006">
          <mc:Choice Requires="x14">
            <control shapeId="32771" r:id="rId6" name="Button 3">
              <controlPr defaultSize="0" print="0" autoFill="0" autoPict="0" macro="[0]!clearAllSelectionButtonMeal">
                <anchor moveWithCells="1">
                  <from>
                    <xdr:col>18</xdr:col>
                    <xdr:colOff>406400</xdr:colOff>
                    <xdr:row>4</xdr:row>
                    <xdr:rowOff>0</xdr:rowOff>
                  </from>
                  <to>
                    <xdr:col>21</xdr:col>
                    <xdr:colOff>190500</xdr:colOff>
                    <xdr:row>7</xdr:row>
                    <xdr:rowOff>0</xdr:rowOff>
                  </to>
                </anchor>
              </controlPr>
            </control>
          </mc:Choice>
        </mc:AlternateContent>
        <mc:AlternateContent xmlns:mc="http://schemas.openxmlformats.org/markup-compatibility/2006">
          <mc:Choice Requires="x14">
            <control shapeId="32772" r:id="rId7" name="Button 4">
              <controlPr defaultSize="0" print="0" autoFill="0" autoPict="0" macro="[0]!calculateButtonMeal">
                <anchor moveWithCells="1">
                  <from>
                    <xdr:col>25</xdr:col>
                    <xdr:colOff>114300</xdr:colOff>
                    <xdr:row>4</xdr:row>
                    <xdr:rowOff>0</xdr:rowOff>
                  </from>
                  <to>
                    <xdr:col>27</xdr:col>
                    <xdr:colOff>25400</xdr:colOff>
                    <xdr:row>6</xdr:row>
                    <xdr:rowOff>190500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03BE-D28C-4C78-97DE-0E664D46FCD4}">
  <sheetPr codeName="Sheet7"/>
  <dimension ref="B1:AJ104"/>
  <sheetViews>
    <sheetView tabSelected="1" topLeftCell="J1" zoomScale="50" zoomScaleNormal="40" workbookViewId="0">
      <selection activeCell="C84" sqref="C84:C85"/>
    </sheetView>
  </sheetViews>
  <sheetFormatPr defaultRowHeight="28.5" x14ac:dyDescent="0.3"/>
  <cols>
    <col min="1" max="1" width="8.796875" style="48"/>
    <col min="2" max="2" width="8.69921875" style="48" customWidth="1"/>
    <col min="3" max="3" width="130.296875" style="48" bestFit="1" customWidth="1"/>
    <col min="4" max="4" width="29.5" style="48" customWidth="1"/>
    <col min="5" max="5" width="26.19921875" style="48" bestFit="1" customWidth="1"/>
    <col min="6" max="6" width="29.5" style="48" bestFit="1" customWidth="1"/>
    <col min="7" max="7" width="21.8984375" style="48" bestFit="1" customWidth="1"/>
    <col min="8" max="8" width="25.69921875" style="48" bestFit="1" customWidth="1"/>
    <col min="9" max="9" width="21.69921875" style="48" bestFit="1" customWidth="1"/>
    <col min="10" max="10" width="35.8984375" style="48" bestFit="1" customWidth="1"/>
    <col min="11" max="11" width="21.69921875" style="48" bestFit="1" customWidth="1"/>
    <col min="12" max="12" width="35.8984375" style="48" bestFit="1" customWidth="1"/>
    <col min="13" max="13" width="25.5" style="48" bestFit="1" customWidth="1"/>
    <col min="14" max="14" width="32.09765625" style="48" bestFit="1" customWidth="1"/>
    <col min="15" max="15" width="26.3984375" style="48" bestFit="1" customWidth="1"/>
    <col min="16" max="16" width="27.09765625" style="48" customWidth="1"/>
    <col min="17" max="17" width="37" style="48" bestFit="1" customWidth="1"/>
    <col min="18" max="18" width="20.8984375" style="48" bestFit="1" customWidth="1"/>
    <col min="19" max="19" width="18.59765625" style="48" bestFit="1" customWidth="1"/>
    <col min="20" max="20" width="19.09765625" style="48" bestFit="1" customWidth="1"/>
    <col min="21" max="21" width="27.09765625" style="49" customWidth="1"/>
    <col min="22" max="22" width="54.09765625" style="49" customWidth="1"/>
    <col min="23" max="23" width="27.8984375" style="48" customWidth="1"/>
    <col min="24" max="24" width="29.5" style="48" customWidth="1"/>
    <col min="25" max="25" width="21.59765625" style="48" bestFit="1" customWidth="1"/>
    <col min="26" max="26" width="25.69921875" style="48" bestFit="1" customWidth="1"/>
    <col min="27" max="27" width="21.5" style="48" bestFit="1" customWidth="1"/>
    <col min="28" max="28" width="25.5" style="48" bestFit="1" customWidth="1"/>
    <col min="29" max="29" width="21.69921875" style="48" bestFit="1" customWidth="1"/>
    <col min="30" max="30" width="35.8984375" style="48" bestFit="1" customWidth="1"/>
    <col min="31" max="31" width="19.8984375" style="48" bestFit="1" customWidth="1"/>
    <col min="32" max="32" width="32.09765625" style="48" customWidth="1"/>
    <col min="33" max="33" width="25.5" style="48" bestFit="1" customWidth="1"/>
    <col min="34" max="34" width="13.59765625" style="48" customWidth="1"/>
    <col min="35" max="35" width="35.8984375" style="48" bestFit="1" customWidth="1"/>
    <col min="36" max="36" width="14.09765625" style="48" bestFit="1" customWidth="1"/>
    <col min="37" max="16384" width="8.796875" style="48"/>
  </cols>
  <sheetData>
    <row r="1" spans="3:36" x14ac:dyDescent="0.3">
      <c r="R1"/>
      <c r="S1"/>
      <c r="T1"/>
      <c r="U1"/>
    </row>
    <row r="2" spans="3:36" x14ac:dyDescent="0.3">
      <c r="R2"/>
      <c r="S2"/>
      <c r="T2"/>
      <c r="U2"/>
      <c r="AI2"/>
      <c r="AJ2"/>
    </row>
    <row r="3" spans="3:36" ht="29" thickBot="1" x14ac:dyDescent="0.35">
      <c r="D3" s="185">
        <v>2</v>
      </c>
      <c r="E3" s="186">
        <v>3</v>
      </c>
      <c r="F3" s="186">
        <v>4</v>
      </c>
      <c r="G3" s="186">
        <v>5</v>
      </c>
      <c r="H3" s="186">
        <v>6</v>
      </c>
      <c r="I3" s="186">
        <v>7</v>
      </c>
      <c r="J3" s="186">
        <v>8</v>
      </c>
      <c r="K3" s="186">
        <v>9</v>
      </c>
      <c r="L3" s="186">
        <v>10</v>
      </c>
      <c r="M3" s="187">
        <v>11</v>
      </c>
      <c r="O3" s="48" t="s">
        <v>296</v>
      </c>
      <c r="P3" s="48" t="s">
        <v>330</v>
      </c>
      <c r="R3"/>
      <c r="S3"/>
      <c r="T3"/>
      <c r="U3"/>
      <c r="V3" s="50"/>
      <c r="X3" s="185">
        <v>2</v>
      </c>
      <c r="Y3" s="186">
        <v>3</v>
      </c>
      <c r="Z3" s="186">
        <v>4</v>
      </c>
      <c r="AA3" s="186">
        <v>5</v>
      </c>
      <c r="AB3" s="186">
        <v>6</v>
      </c>
      <c r="AC3" s="186">
        <v>7</v>
      </c>
      <c r="AD3" s="186">
        <v>8</v>
      </c>
      <c r="AE3" s="186">
        <v>9</v>
      </c>
      <c r="AF3" s="186">
        <v>10</v>
      </c>
      <c r="AG3" s="187">
        <v>11</v>
      </c>
      <c r="AI3"/>
      <c r="AJ3"/>
    </row>
    <row r="4" spans="3:36" ht="29" thickBot="1" x14ac:dyDescent="0.35">
      <c r="C4" s="220" t="s">
        <v>158</v>
      </c>
      <c r="D4" s="221" t="s">
        <v>140</v>
      </c>
      <c r="E4" s="221" t="s">
        <v>141</v>
      </c>
      <c r="F4" s="221" t="s">
        <v>142</v>
      </c>
      <c r="G4" s="221" t="s">
        <v>143</v>
      </c>
      <c r="H4" s="221" t="s">
        <v>144</v>
      </c>
      <c r="I4" s="221" t="s">
        <v>145</v>
      </c>
      <c r="J4" s="221" t="s">
        <v>146</v>
      </c>
      <c r="K4" s="221" t="s">
        <v>147</v>
      </c>
      <c r="L4" s="221" t="s">
        <v>148</v>
      </c>
      <c r="M4" s="222" t="s">
        <v>149</v>
      </c>
      <c r="N4" s="361"/>
      <c r="O4" s="370" t="s">
        <v>217</v>
      </c>
      <c r="P4" s="371">
        <v>1</v>
      </c>
      <c r="R4"/>
      <c r="S4"/>
      <c r="T4"/>
      <c r="U4"/>
      <c r="V4" s="382" t="s">
        <v>150</v>
      </c>
      <c r="W4" s="341" t="s">
        <v>227</v>
      </c>
      <c r="X4" s="341" t="s">
        <v>140</v>
      </c>
      <c r="Y4" s="341" t="s">
        <v>141</v>
      </c>
      <c r="Z4" s="341" t="s">
        <v>142</v>
      </c>
      <c r="AA4" s="341" t="s">
        <v>143</v>
      </c>
      <c r="AB4" s="341" t="s">
        <v>144</v>
      </c>
      <c r="AC4" s="341" t="s">
        <v>145</v>
      </c>
      <c r="AD4" s="341" t="s">
        <v>146</v>
      </c>
      <c r="AE4" s="341" t="s">
        <v>147</v>
      </c>
      <c r="AF4" s="341" t="s">
        <v>148</v>
      </c>
      <c r="AG4" s="342" t="s">
        <v>149</v>
      </c>
      <c r="AH4" s="380"/>
      <c r="AI4" s="363"/>
      <c r="AJ4"/>
    </row>
    <row r="5" spans="3:36" x14ac:dyDescent="0.3">
      <c r="C5" s="343" t="s">
        <v>252</v>
      </c>
      <c r="D5" s="320" cm="1">
        <f t="array" ref="D5">calculateSandwichItems($C6, D$3, $C$4)</f>
        <v>134</v>
      </c>
      <c r="E5" s="320" cm="1">
        <f t="array" ref="E5">calculateSandwichItems($C6, E$3, $C$4)</f>
        <v>1634</v>
      </c>
      <c r="F5" s="320" cm="1">
        <f t="array" ref="F5">calculateSandwichItems($C6, F$3, $C$4)</f>
        <v>390</v>
      </c>
      <c r="G5" s="320" cm="1">
        <f t="array" ref="G5">calculateSandwichItems($C6, G$3, $C$4)</f>
        <v>14.8</v>
      </c>
      <c r="H5" s="320" cm="1">
        <f t="array" ref="H5">calculateSandwichItems($C6, H$3, $C$4)</f>
        <v>4.2</v>
      </c>
      <c r="I5" s="320" cm="1">
        <f t="array" ref="I5">calculateSandwichItems($C6, I$3, $C$4)</f>
        <v>0.6</v>
      </c>
      <c r="J5" s="320" cm="1">
        <f t="array" ref="J5">calculateSandwichItems($C6, J$3, $C$4)</f>
        <v>70.400000000000006</v>
      </c>
      <c r="K5" s="320" cm="1">
        <f t="array" ref="K5">calculateSandwichItems($C6, K$3, $C$4)</f>
        <v>5.4</v>
      </c>
      <c r="L5" s="320" cm="1">
        <f t="array" ref="L5">calculateSandwichItems($C6, L$3, $C$4)</f>
        <v>3.6</v>
      </c>
      <c r="M5" s="320" cm="1">
        <f t="array" ref="M5">calculateSandwichItems($C6, M$3, $C$4)</f>
        <v>478</v>
      </c>
      <c r="N5" s="361"/>
      <c r="O5" s="372" t="s">
        <v>252</v>
      </c>
      <c r="P5" s="373">
        <v>2</v>
      </c>
      <c r="R5"/>
      <c r="S5"/>
      <c r="T5"/>
      <c r="U5"/>
      <c r="V5" s="396" t="s">
        <v>299</v>
      </c>
      <c r="W5" s="292" t="str" cm="1">
        <f t="array" ref="W5">calculateServingCountSide($V5)</f>
        <v/>
      </c>
      <c r="X5" s="292" t="str" cm="1">
        <f t="array" aca="1" ref="X5" ca="1">calculateSide($V5, X$3, $V$4)</f>
        <v/>
      </c>
      <c r="Y5" s="292" t="str" cm="1">
        <f t="array" aca="1" ref="Y5" ca="1">calculateSide($V5, Y$3, $V$4)</f>
        <v/>
      </c>
      <c r="Z5" s="292" t="str" cm="1">
        <f t="array" aca="1" ref="Z5" ca="1">calculateSide($V5, Z$3, $V$4)</f>
        <v/>
      </c>
      <c r="AA5" s="292" t="str" cm="1">
        <f t="array" aca="1" ref="AA5" ca="1">calculateSide($V5, AA$3, $V$4)</f>
        <v/>
      </c>
      <c r="AB5" s="292" t="str" cm="1">
        <f t="array" aca="1" ref="AB5" ca="1">calculateSide($V5, AB$3, $V$4)</f>
        <v/>
      </c>
      <c r="AC5" s="292" t="str" cm="1">
        <f t="array" aca="1" ref="AC5" ca="1">calculateSide($V5, AC$3, $V$4)</f>
        <v/>
      </c>
      <c r="AD5" s="292" t="str" cm="1">
        <f t="array" aca="1" ref="AD5" ca="1">calculateSide($V5, AD$3, $V$4)</f>
        <v/>
      </c>
      <c r="AE5" s="292" t="str" cm="1">
        <f t="array" aca="1" ref="AE5" ca="1">calculateSide($V5, AE$3, $V$4)</f>
        <v/>
      </c>
      <c r="AF5" s="292" t="str" cm="1">
        <f t="array" aca="1" ref="AF5" ca="1">calculateSide($V5, AF$3, $V$4)</f>
        <v/>
      </c>
      <c r="AG5" s="376" t="str" cm="1">
        <f t="array" aca="1" ref="AG5" ca="1">calculateSide($V5, AG$3, $V$4)</f>
        <v/>
      </c>
      <c r="AH5" s="380"/>
      <c r="AI5" s="363"/>
      <c r="AJ5"/>
    </row>
    <row r="6" spans="3:36" ht="29" thickBot="1" x14ac:dyDescent="0.35">
      <c r="C6" s="344" t="s">
        <v>244</v>
      </c>
      <c r="D6" s="321"/>
      <c r="E6" s="321"/>
      <c r="F6" s="321"/>
      <c r="G6" s="321"/>
      <c r="H6" s="321"/>
      <c r="I6" s="321"/>
      <c r="J6" s="321"/>
      <c r="K6" s="321"/>
      <c r="L6" s="321"/>
      <c r="M6" s="321"/>
      <c r="N6" s="361"/>
      <c r="O6" s="372" t="s">
        <v>219</v>
      </c>
      <c r="P6" s="373">
        <v>0.67</v>
      </c>
      <c r="R6"/>
      <c r="S6"/>
      <c r="T6"/>
      <c r="U6"/>
      <c r="V6" s="397"/>
      <c r="W6" s="292" t="str" cm="1">
        <f t="array" ref="W6">calculateServingCountSide($V6)</f>
        <v/>
      </c>
      <c r="X6" s="288" t="str" cm="1">
        <f t="array" aca="1" ref="X6" ca="1">calculateSide($V6, X$3, $V$4)</f>
        <v/>
      </c>
      <c r="Y6" s="292" t="str" cm="1">
        <f t="array" aca="1" ref="Y6" ca="1">calculateSide($V6, Y$3, $V$4)</f>
        <v/>
      </c>
      <c r="Z6" s="292" t="str" cm="1">
        <f t="array" aca="1" ref="Z6" ca="1">calculateSide($V6, Z$3, $V$4)</f>
        <v/>
      </c>
      <c r="AA6" s="292" t="str" cm="1">
        <f t="array" aca="1" ref="AA6" ca="1">calculateSide($V6, AA$3, $V$4)</f>
        <v/>
      </c>
      <c r="AB6" s="292" t="str" cm="1">
        <f t="array" aca="1" ref="AB6" ca="1">calculateSide($V6, AB$3, $V$4)</f>
        <v/>
      </c>
      <c r="AC6" s="292" t="str" cm="1">
        <f t="array" aca="1" ref="AC6" ca="1">calculateSide($V6, AC$3, $V$4)</f>
        <v/>
      </c>
      <c r="AD6" s="292" t="str" cm="1">
        <f t="array" aca="1" ref="AD6" ca="1">calculateSide($V6, AD$3, $V$4)</f>
        <v/>
      </c>
      <c r="AE6" s="292" t="str" cm="1">
        <f t="array" aca="1" ref="AE6" ca="1">calculateSide($V6, AE$3, $V$4)</f>
        <v/>
      </c>
      <c r="AF6" s="292" t="str" cm="1">
        <f t="array" aca="1" ref="AF6" ca="1">calculateSide($V6, AF$3, $V$4)</f>
        <v/>
      </c>
      <c r="AG6" s="292" t="str" cm="1">
        <f t="array" aca="1" ref="AG6" ca="1">calculateSide($V6, AG$3, $V$4)</f>
        <v/>
      </c>
      <c r="AH6" s="380"/>
      <c r="AI6" s="363"/>
      <c r="AJ6"/>
    </row>
    <row r="7" spans="3:36" ht="29" thickBot="1" x14ac:dyDescent="0.35">
      <c r="C7" s="223" t="s">
        <v>254</v>
      </c>
      <c r="D7" s="229">
        <f>SUM(D5)</f>
        <v>134</v>
      </c>
      <c r="E7" s="229">
        <f t="shared" ref="E7:M7" si="0">SUM(E5)</f>
        <v>1634</v>
      </c>
      <c r="F7" s="229">
        <f t="shared" si="0"/>
        <v>390</v>
      </c>
      <c r="G7" s="229">
        <f t="shared" si="0"/>
        <v>14.8</v>
      </c>
      <c r="H7" s="229">
        <f t="shared" si="0"/>
        <v>4.2</v>
      </c>
      <c r="I7" s="229">
        <f t="shared" si="0"/>
        <v>0.6</v>
      </c>
      <c r="J7" s="229">
        <f t="shared" si="0"/>
        <v>70.400000000000006</v>
      </c>
      <c r="K7" s="229">
        <f t="shared" si="0"/>
        <v>5.4</v>
      </c>
      <c r="L7" s="229">
        <f t="shared" si="0"/>
        <v>3.6</v>
      </c>
      <c r="M7" s="230">
        <f t="shared" si="0"/>
        <v>478</v>
      </c>
      <c r="N7" s="361"/>
      <c r="O7" s="374" t="s">
        <v>218</v>
      </c>
      <c r="P7" s="375">
        <v>1</v>
      </c>
      <c r="R7"/>
      <c r="S7"/>
      <c r="T7"/>
      <c r="U7"/>
      <c r="V7" s="397"/>
      <c r="W7" s="292" t="str" cm="1">
        <f t="array" ref="W7">calculateServingCountSide($V7)</f>
        <v/>
      </c>
      <c r="X7" s="288" t="str" cm="1">
        <f t="array" aca="1" ref="X7" ca="1">calculateSide($V7, X$3, $V$4)</f>
        <v/>
      </c>
      <c r="Y7" s="292" t="str" cm="1">
        <f t="array" aca="1" ref="Y7" ca="1">calculateSide($V7, Y$3, $V$4)</f>
        <v/>
      </c>
      <c r="Z7" s="292" t="str" cm="1">
        <f t="array" aca="1" ref="Z7" ca="1">calculateSide($V7, Z$3, $V$4)</f>
        <v/>
      </c>
      <c r="AA7" s="292" t="str" cm="1">
        <f t="array" aca="1" ref="AA7" ca="1">calculateSide($V7, AA$3, $V$4)</f>
        <v/>
      </c>
      <c r="AB7" s="292" t="str" cm="1">
        <f t="array" aca="1" ref="AB7" ca="1">calculateSide($V7, AB$3, $V$4)</f>
        <v/>
      </c>
      <c r="AC7" s="292" t="str" cm="1">
        <f t="array" aca="1" ref="AC7" ca="1">calculateSide($V7, AC$3, $V$4)</f>
        <v/>
      </c>
      <c r="AD7" s="292" t="str" cm="1">
        <f t="array" aca="1" ref="AD7" ca="1">calculateSide($V7, AD$3, $V$4)</f>
        <v/>
      </c>
      <c r="AE7" s="292" t="str" cm="1">
        <f t="array" aca="1" ref="AE7" ca="1">calculateSide($V7, AE$3, $V$4)</f>
        <v/>
      </c>
      <c r="AF7" s="292" t="str" cm="1">
        <f t="array" aca="1" ref="AF7" ca="1">calculateSide($V7, AF$3, $V$4)</f>
        <v/>
      </c>
      <c r="AG7" s="292" t="str" cm="1">
        <f t="array" aca="1" ref="AG7" ca="1">calculateSide($V7, AG$3, $V$4)</f>
        <v/>
      </c>
      <c r="AH7" s="380"/>
      <c r="AI7" s="363"/>
      <c r="AJ7"/>
    </row>
    <row r="8" spans="3:36" x14ac:dyDescent="0.3">
      <c r="R8"/>
      <c r="S8"/>
      <c r="T8"/>
      <c r="U8"/>
      <c r="V8" s="397"/>
      <c r="W8" s="292" t="str" cm="1">
        <f t="array" ref="W8">calculateServingCountSide($V8)</f>
        <v/>
      </c>
      <c r="X8" s="288" t="str" cm="1">
        <f t="array" aca="1" ref="X8" ca="1">calculateSide($V8, X$3, $V$4)</f>
        <v/>
      </c>
      <c r="Y8" s="292" t="str" cm="1">
        <f t="array" aca="1" ref="Y8" ca="1">calculateSide($V8, Y$3, $V$4)</f>
        <v/>
      </c>
      <c r="Z8" s="292" t="str" cm="1">
        <f t="array" aca="1" ref="Z8" ca="1">calculateSide($V8, Z$3, $V$4)</f>
        <v/>
      </c>
      <c r="AA8" s="292" t="str" cm="1">
        <f t="array" aca="1" ref="AA8" ca="1">calculateSide($V8, AA$3, $V$4)</f>
        <v/>
      </c>
      <c r="AB8" s="292" t="str" cm="1">
        <f t="array" aca="1" ref="AB8" ca="1">calculateSide($V8, AB$3, $V$4)</f>
        <v/>
      </c>
      <c r="AC8" s="292" t="str" cm="1">
        <f t="array" aca="1" ref="AC8" ca="1">calculateSide($V8, AC$3, $V$4)</f>
        <v/>
      </c>
      <c r="AD8" s="292" t="str" cm="1">
        <f t="array" aca="1" ref="AD8" ca="1">calculateSide($V8, AD$3, $V$4)</f>
        <v/>
      </c>
      <c r="AE8" s="292" t="str" cm="1">
        <f t="array" aca="1" ref="AE8" ca="1">calculateSide($V8, AE$3, $V$4)</f>
        <v/>
      </c>
      <c r="AF8" s="292" t="str" cm="1">
        <f t="array" aca="1" ref="AF8" ca="1">calculateSide($V8, AF$3, $V$4)</f>
        <v/>
      </c>
      <c r="AG8" s="292" t="str" cm="1">
        <f t="array" aca="1" ref="AG8" ca="1">calculateSide($V8, AG$3, $V$4)</f>
        <v/>
      </c>
      <c r="AH8" s="380"/>
      <c r="AI8" s="363"/>
      <c r="AJ8"/>
    </row>
    <row r="9" spans="3:36" x14ac:dyDescent="0.3">
      <c r="R9"/>
      <c r="S9"/>
      <c r="T9"/>
      <c r="U9"/>
      <c r="V9" s="397"/>
      <c r="W9" s="292" t="str" cm="1">
        <f t="array" ref="W9">calculateServingCountSide($V9)</f>
        <v/>
      </c>
      <c r="X9" s="288" t="str" cm="1">
        <f t="array" aca="1" ref="X9" ca="1">calculateSide($V9, X$3, $V$4)</f>
        <v/>
      </c>
      <c r="Y9" s="292" t="str" cm="1">
        <f t="array" aca="1" ref="Y9" ca="1">calculateSide($V9, Y$3, $V$4)</f>
        <v/>
      </c>
      <c r="Z9" s="292" t="str" cm="1">
        <f t="array" aca="1" ref="Z9" ca="1">calculateSide($V9, Z$3, $V$4)</f>
        <v/>
      </c>
      <c r="AA9" s="292" t="str" cm="1">
        <f t="array" aca="1" ref="AA9" ca="1">calculateSide($V9, AA$3, $V$4)</f>
        <v/>
      </c>
      <c r="AB9" s="292" t="str" cm="1">
        <f t="array" aca="1" ref="AB9" ca="1">calculateSide($V9, AB$3, $V$4)</f>
        <v/>
      </c>
      <c r="AC9" s="292" t="str" cm="1">
        <f t="array" aca="1" ref="AC9" ca="1">calculateSide($V9, AC$3, $V$4)</f>
        <v/>
      </c>
      <c r="AD9" s="292" t="str" cm="1">
        <f t="array" aca="1" ref="AD9" ca="1">calculateSide($V9, AD$3, $V$4)</f>
        <v/>
      </c>
      <c r="AE9" s="292" t="str" cm="1">
        <f t="array" aca="1" ref="AE9" ca="1">calculateSide($V9, AE$3, $V$4)</f>
        <v/>
      </c>
      <c r="AF9" s="292" t="str" cm="1">
        <f t="array" aca="1" ref="AF9" ca="1">calculateSide($V9, AF$3, $V$4)</f>
        <v/>
      </c>
      <c r="AG9" s="292" t="str" cm="1">
        <f t="array" aca="1" ref="AG9" ca="1">calculateSide($V9, AG$3, $V$4)</f>
        <v/>
      </c>
      <c r="AH9" s="380"/>
      <c r="AI9" s="363"/>
      <c r="AJ9"/>
    </row>
    <row r="10" spans="3:36" ht="29" thickBot="1" x14ac:dyDescent="0.35">
      <c r="D10" s="185">
        <v>2</v>
      </c>
      <c r="E10" s="186">
        <v>3</v>
      </c>
      <c r="F10" s="186">
        <v>4</v>
      </c>
      <c r="G10" s="186">
        <v>5</v>
      </c>
      <c r="H10" s="186">
        <v>6</v>
      </c>
      <c r="I10" s="186">
        <v>7</v>
      </c>
      <c r="J10" s="186">
        <v>8</v>
      </c>
      <c r="K10" s="186">
        <v>9</v>
      </c>
      <c r="L10" s="186">
        <v>10</v>
      </c>
      <c r="M10" s="187">
        <v>11</v>
      </c>
      <c r="U10"/>
      <c r="V10" s="398"/>
      <c r="W10" s="292" t="str" cm="1">
        <f t="array" ref="W10">calculateServingCountSide($V10)</f>
        <v/>
      </c>
      <c r="X10" s="291" t="str" cm="1">
        <f t="array" aca="1" ref="X10" ca="1">calculateSide($V10, X$3, $V$4)</f>
        <v/>
      </c>
      <c r="Y10" s="292" t="str" cm="1">
        <f t="array" aca="1" ref="Y10" ca="1">calculateSide($V10, Y$3, $V$4)</f>
        <v/>
      </c>
      <c r="Z10" s="292" t="str" cm="1">
        <f t="array" aca="1" ref="Z10" ca="1">calculateSide($V10, Z$3, $V$4)</f>
        <v/>
      </c>
      <c r="AA10" s="292" t="str" cm="1">
        <f t="array" aca="1" ref="AA10" ca="1">calculateSide($V10, AA$3, $V$4)</f>
        <v/>
      </c>
      <c r="AB10" s="292" t="str" cm="1">
        <f t="array" aca="1" ref="AB10" ca="1">calculateSide($V10, AB$3, $V$4)</f>
        <v/>
      </c>
      <c r="AC10" s="292" t="str" cm="1">
        <f t="array" aca="1" ref="AC10" ca="1">calculateSide($V10, AC$3, $V$4)</f>
        <v/>
      </c>
      <c r="AD10" s="292" t="str" cm="1">
        <f t="array" aca="1" ref="AD10" ca="1">calculateSide($V10, AD$3, $V$4)</f>
        <v/>
      </c>
      <c r="AE10" s="292" t="str" cm="1">
        <f t="array" aca="1" ref="AE10" ca="1">calculateSide($V10, AE$3, $V$4)</f>
        <v/>
      </c>
      <c r="AF10" s="292" t="str" cm="1">
        <f t="array" aca="1" ref="AF10" ca="1">calculateSide($V10, AF$3, $V$4)</f>
        <v/>
      </c>
      <c r="AG10" s="292" t="str" cm="1">
        <f t="array" aca="1" ref="AG10" ca="1">calculateSide($V10, AG$3, $V$4)</f>
        <v/>
      </c>
      <c r="AH10" s="380"/>
      <c r="AI10" s="363"/>
      <c r="AJ10"/>
    </row>
    <row r="11" spans="3:36" ht="29" thickBot="1" x14ac:dyDescent="0.35">
      <c r="C11" s="345" t="s">
        <v>266</v>
      </c>
      <c r="D11" s="346" t="s">
        <v>140</v>
      </c>
      <c r="E11" s="346" t="s">
        <v>141</v>
      </c>
      <c r="F11" s="346" t="s">
        <v>142</v>
      </c>
      <c r="G11" s="346" t="s">
        <v>143</v>
      </c>
      <c r="H11" s="346" t="s">
        <v>144</v>
      </c>
      <c r="I11" s="346" t="s">
        <v>145</v>
      </c>
      <c r="J11" s="346" t="s">
        <v>146</v>
      </c>
      <c r="K11" s="346" t="s">
        <v>147</v>
      </c>
      <c r="L11" s="346" t="s">
        <v>148</v>
      </c>
      <c r="M11" s="347" t="s">
        <v>149</v>
      </c>
      <c r="N11" s="361"/>
      <c r="O11" s="360"/>
      <c r="U11"/>
      <c r="V11" s="382" t="s">
        <v>254</v>
      </c>
      <c r="W11" s="338">
        <f>SUM(W5:W10)</f>
        <v>0</v>
      </c>
      <c r="X11" s="338">
        <f ca="1">SUM(X5:X10)</f>
        <v>0</v>
      </c>
      <c r="Y11" s="338">
        <f t="shared" ref="Y11:AG11" ca="1" si="1">SUM(Y5:Y10)</f>
        <v>0</v>
      </c>
      <c r="Z11" s="338">
        <f t="shared" ca="1" si="1"/>
        <v>0</v>
      </c>
      <c r="AA11" s="338">
        <f t="shared" ca="1" si="1"/>
        <v>0</v>
      </c>
      <c r="AB11" s="338">
        <f t="shared" ca="1" si="1"/>
        <v>0</v>
      </c>
      <c r="AC11" s="338">
        <f t="shared" ca="1" si="1"/>
        <v>0</v>
      </c>
      <c r="AD11" s="338">
        <f ca="1">SUM(AD5:AD10)</f>
        <v>0</v>
      </c>
      <c r="AE11" s="338">
        <f t="shared" ca="1" si="1"/>
        <v>0</v>
      </c>
      <c r="AF11" s="338">
        <f t="shared" ca="1" si="1"/>
        <v>0</v>
      </c>
      <c r="AG11" s="339">
        <f t="shared" ca="1" si="1"/>
        <v>0</v>
      </c>
      <c r="AH11" s="380"/>
      <c r="AI11" s="363"/>
      <c r="AJ11"/>
    </row>
    <row r="12" spans="3:36" ht="29" thickBot="1" x14ac:dyDescent="0.35">
      <c r="C12" s="348" t="s">
        <v>241</v>
      </c>
      <c r="D12" s="231" cm="1">
        <f t="array" ref="D12">calculateSandwichItems($C12, D$10, $C$11)</f>
        <v>128.19999999999999</v>
      </c>
      <c r="E12" s="231" cm="1">
        <f t="array" ref="E12">calculateSandwichItems($C12, E$10, $C$11)</f>
        <v>1542.2</v>
      </c>
      <c r="F12" s="231" cm="1">
        <f t="array" ref="F12">calculateSandwichItems($C12, F$10, $C$11)</f>
        <v>371.4</v>
      </c>
      <c r="G12" s="231" cm="1">
        <f t="array" ref="G12">calculateSandwichItems($C12, G$10, $C$11)</f>
        <v>28.2</v>
      </c>
      <c r="H12" s="231" cm="1">
        <f t="array" ref="H12">calculateSandwichItems($C12, H$10, $C$11)</f>
        <v>20.399999999999999</v>
      </c>
      <c r="I12" s="231" cm="1">
        <f t="array" ref="I12">calculateSandwichItems($C12, I$10, $C$11)</f>
        <v>8</v>
      </c>
      <c r="J12" s="231" cm="1">
        <f t="array" ref="J12">calculateSandwichItems($C12, J$10, $C$11)</f>
        <v>19</v>
      </c>
      <c r="K12" s="231" cm="1">
        <f t="array" ref="K12">calculateSandwichItems($C12, K$10, $C$11)</f>
        <v>12.2</v>
      </c>
      <c r="L12" s="231" cm="1">
        <f t="array" ref="L12">calculateSandwichItems($C12, L$10, $C$11)</f>
        <v>0</v>
      </c>
      <c r="M12" s="231" cm="1">
        <f t="array" ref="M12">calculateSandwichItems($C12, M$10, $C$11)</f>
        <v>1225.5999999999999</v>
      </c>
      <c r="N12" s="361"/>
      <c r="O12" s="360"/>
      <c r="U12"/>
      <c r="V12" s="57"/>
      <c r="W12" s="49"/>
      <c r="X12" s="49"/>
      <c r="Y12" s="49"/>
      <c r="Z12" s="49"/>
      <c r="AA12" s="49"/>
      <c r="AB12" s="49"/>
      <c r="AC12" s="49"/>
      <c r="AD12" s="49"/>
      <c r="AE12" s="49"/>
      <c r="AF12" s="49"/>
      <c r="AG12" s="49"/>
      <c r="AH12" s="379"/>
      <c r="AI12" s="363"/>
      <c r="AJ12"/>
    </row>
    <row r="13" spans="3:36" ht="29" thickBot="1" x14ac:dyDescent="0.35">
      <c r="C13" s="225" t="s">
        <v>254</v>
      </c>
      <c r="D13" s="226">
        <f>SUM(D12)</f>
        <v>128.19999999999999</v>
      </c>
      <c r="E13" s="226">
        <f t="shared" ref="E13:M13" si="2">SUM(E12)</f>
        <v>1542.2</v>
      </c>
      <c r="F13" s="226">
        <f t="shared" si="2"/>
        <v>371.4</v>
      </c>
      <c r="G13" s="226">
        <f t="shared" si="2"/>
        <v>28.2</v>
      </c>
      <c r="H13" s="226">
        <f t="shared" si="2"/>
        <v>20.399999999999999</v>
      </c>
      <c r="I13" s="226">
        <f t="shared" si="2"/>
        <v>8</v>
      </c>
      <c r="J13" s="226">
        <f t="shared" si="2"/>
        <v>19</v>
      </c>
      <c r="K13" s="226">
        <f t="shared" si="2"/>
        <v>12.2</v>
      </c>
      <c r="L13" s="226">
        <f t="shared" si="2"/>
        <v>0</v>
      </c>
      <c r="M13" s="227">
        <f t="shared" si="2"/>
        <v>1225.5999999999999</v>
      </c>
      <c r="N13" s="361"/>
      <c r="P13" s="360"/>
      <c r="U13"/>
      <c r="V13" s="57"/>
      <c r="W13" s="50"/>
      <c r="X13" s="185">
        <v>2</v>
      </c>
      <c r="Y13" s="186">
        <v>3</v>
      </c>
      <c r="Z13" s="186">
        <v>4</v>
      </c>
      <c r="AA13" s="186">
        <v>5</v>
      </c>
      <c r="AB13" s="186">
        <v>6</v>
      </c>
      <c r="AC13" s="186">
        <v>7</v>
      </c>
      <c r="AD13" s="186">
        <v>8</v>
      </c>
      <c r="AE13" s="186">
        <v>9</v>
      </c>
      <c r="AF13" s="191">
        <v>10</v>
      </c>
      <c r="AG13" s="191">
        <v>11</v>
      </c>
      <c r="AH13" s="49"/>
      <c r="AI13" s="363"/>
      <c r="AJ13"/>
    </row>
    <row r="14" spans="3:36" ht="29" thickBot="1" x14ac:dyDescent="0.35">
      <c r="N14" s="360"/>
      <c r="U14"/>
      <c r="V14" s="383" t="s">
        <v>151</v>
      </c>
      <c r="W14" s="387" t="s">
        <v>227</v>
      </c>
      <c r="X14" s="323" t="s">
        <v>140</v>
      </c>
      <c r="Y14" s="323" t="s">
        <v>141</v>
      </c>
      <c r="Z14" s="323" t="s">
        <v>142</v>
      </c>
      <c r="AA14" s="323" t="s">
        <v>143</v>
      </c>
      <c r="AB14" s="323" t="s">
        <v>144</v>
      </c>
      <c r="AC14" s="323" t="s">
        <v>145</v>
      </c>
      <c r="AD14" s="323" t="s">
        <v>146</v>
      </c>
      <c r="AE14" s="388" t="s">
        <v>147</v>
      </c>
      <c r="AF14" s="323" t="s">
        <v>148</v>
      </c>
      <c r="AG14" s="324" t="s">
        <v>149</v>
      </c>
      <c r="AH14" s="380"/>
      <c r="AI14" s="363"/>
      <c r="AJ14"/>
    </row>
    <row r="15" spans="3:36" x14ac:dyDescent="0.3">
      <c r="P15"/>
      <c r="U15"/>
      <c r="V15" s="393" t="s">
        <v>299</v>
      </c>
      <c r="W15" s="293" t="str" cm="1">
        <f t="array" ref="W15">calculateServingCountSide($V15)</f>
        <v/>
      </c>
      <c r="X15" s="294" t="str" cm="1">
        <f t="array" aca="1" ref="X15" ca="1">calculateSide($V15, X$13, $V$14)</f>
        <v/>
      </c>
      <c r="Y15" s="294" t="str" cm="1">
        <f t="array" aca="1" ref="Y15" ca="1">calculateSide($V15, Y$13, $V$14)</f>
        <v/>
      </c>
      <c r="Z15" s="294" t="str" cm="1">
        <f t="array" aca="1" ref="Z15" ca="1">calculateSide($V15, Z$13, $V$14)</f>
        <v/>
      </c>
      <c r="AA15" s="294" t="str" cm="1">
        <f t="array" aca="1" ref="AA15" ca="1">calculateSide($V15, AA$13, $V$14)</f>
        <v/>
      </c>
      <c r="AB15" s="294" t="str" cm="1">
        <f t="array" aca="1" ref="AB15" ca="1">calculateSide($V15, AB$13, $V$14)</f>
        <v/>
      </c>
      <c r="AC15" s="294" t="str" cm="1">
        <f t="array" aca="1" ref="AC15" ca="1">calculateSide($V15, AC$13, $V$14)</f>
        <v/>
      </c>
      <c r="AD15" s="294" t="str" cm="1">
        <f t="array" aca="1" ref="AD15" ca="1">calculateSide($V15, AD$13, $V$14)</f>
        <v/>
      </c>
      <c r="AE15" s="294" t="str" cm="1">
        <f t="array" aca="1" ref="AE15" ca="1">calculateSide($V15, AE$13, $V$14)</f>
        <v/>
      </c>
      <c r="AF15" s="294" t="str" cm="1">
        <f t="array" aca="1" ref="AF15" ca="1">calculateSide($V15, AF$13, $V$14)</f>
        <v/>
      </c>
      <c r="AG15" s="377" t="str" cm="1">
        <f t="array" aca="1" ref="AG15" ca="1">calculateSide($V15, AG$13, $V$14)</f>
        <v/>
      </c>
      <c r="AH15" s="380"/>
      <c r="AI15" s="363"/>
      <c r="AJ15"/>
    </row>
    <row r="16" spans="3:36" ht="29" thickBot="1" x14ac:dyDescent="0.35">
      <c r="D16" s="185">
        <v>2</v>
      </c>
      <c r="E16" s="186">
        <v>3</v>
      </c>
      <c r="F16" s="186">
        <v>4</v>
      </c>
      <c r="G16" s="186">
        <v>5</v>
      </c>
      <c r="H16" s="186">
        <v>6</v>
      </c>
      <c r="I16" s="186">
        <v>7</v>
      </c>
      <c r="J16" s="186">
        <v>8</v>
      </c>
      <c r="K16" s="186">
        <v>9</v>
      </c>
      <c r="L16" s="186">
        <v>10</v>
      </c>
      <c r="M16" s="186">
        <v>11</v>
      </c>
      <c r="N16" s="186">
        <v>12</v>
      </c>
      <c r="O16" s="187">
        <v>13</v>
      </c>
      <c r="Q16" s="366"/>
      <c r="R16" s="176"/>
      <c r="S16" s="176"/>
      <c r="T16" s="176"/>
      <c r="U16"/>
      <c r="V16" s="394"/>
      <c r="W16" s="293" t="str" cm="1">
        <f t="array" ref="W16">calculateServingCountSide($V16)</f>
        <v/>
      </c>
      <c r="X16" s="290" t="str" cm="1">
        <f t="array" aca="1" ref="X16" ca="1">calculateSide($V16, X$13, $V$14)</f>
        <v/>
      </c>
      <c r="Y16" s="294" t="str" cm="1">
        <f t="array" aca="1" ref="Y16" ca="1">calculateSide($V16, Y$13, $V$14)</f>
        <v/>
      </c>
      <c r="Z16" s="294" t="str" cm="1">
        <f t="array" aca="1" ref="Z16" ca="1">calculateSide($V16, Z$13, $V$14)</f>
        <v/>
      </c>
      <c r="AA16" s="294" t="str" cm="1">
        <f t="array" aca="1" ref="AA16" ca="1">calculateSide($V16, AA$13, $V$14)</f>
        <v/>
      </c>
      <c r="AB16" s="294" t="str" cm="1">
        <f t="array" aca="1" ref="AB16" ca="1">calculateSide($V16, AB$13, $V$14)</f>
        <v/>
      </c>
      <c r="AC16" s="294" t="str" cm="1">
        <f t="array" aca="1" ref="AC16" ca="1">calculateSide($V16, AC$13, $V$14)</f>
        <v/>
      </c>
      <c r="AD16" s="294" t="str" cm="1">
        <f t="array" aca="1" ref="AD16" ca="1">calculateSide($V16, AD$13, $V$14)</f>
        <v/>
      </c>
      <c r="AE16" s="294" t="str" cm="1">
        <f t="array" aca="1" ref="AE16" ca="1">calculateSide($V16, AE$13, $V$14)</f>
        <v/>
      </c>
      <c r="AF16" s="294" t="str" cm="1">
        <f t="array" aca="1" ref="AF16" ca="1">calculateSide($V16, AF$13, $V$14)</f>
        <v/>
      </c>
      <c r="AG16" s="294" t="str" cm="1">
        <f t="array" aca="1" ref="AG16" ca="1">calculateSide($V16, AG$13, $V$14)</f>
        <v/>
      </c>
      <c r="AH16" s="380"/>
      <c r="AI16" s="360"/>
    </row>
    <row r="17" spans="3:35" ht="29" thickBot="1" x14ac:dyDescent="0.35">
      <c r="C17" s="340" t="s">
        <v>213</v>
      </c>
      <c r="D17" s="341" t="s">
        <v>227</v>
      </c>
      <c r="E17" s="341" t="s">
        <v>228</v>
      </c>
      <c r="F17" s="341" t="s">
        <v>140</v>
      </c>
      <c r="G17" s="341" t="s">
        <v>141</v>
      </c>
      <c r="H17" s="341" t="s">
        <v>142</v>
      </c>
      <c r="I17" s="341" t="s">
        <v>143</v>
      </c>
      <c r="J17" s="341" t="s">
        <v>144</v>
      </c>
      <c r="K17" s="341" t="s">
        <v>145</v>
      </c>
      <c r="L17" s="341" t="s">
        <v>146</v>
      </c>
      <c r="M17" s="341" t="s">
        <v>147</v>
      </c>
      <c r="N17" s="341" t="s">
        <v>148</v>
      </c>
      <c r="O17" s="342" t="s">
        <v>149</v>
      </c>
      <c r="P17" s="361"/>
      <c r="Q17" s="367"/>
      <c r="R17" s="178" t="s">
        <v>324</v>
      </c>
      <c r="S17" s="179" t="s">
        <v>159</v>
      </c>
      <c r="T17" s="179" t="s">
        <v>325</v>
      </c>
      <c r="U17"/>
      <c r="V17" s="394"/>
      <c r="W17" s="293" t="str" cm="1">
        <f t="array" ref="W17">calculateServingCountSide($V17)</f>
        <v/>
      </c>
      <c r="X17" s="290" t="str" cm="1">
        <f t="array" aca="1" ref="X17" ca="1">calculateSide($V17, X$13, $V$14)</f>
        <v/>
      </c>
      <c r="Y17" s="294" t="str" cm="1">
        <f t="array" aca="1" ref="Y17" ca="1">calculateSide($V17, Y$13, $V$14)</f>
        <v/>
      </c>
      <c r="Z17" s="294" t="str" cm="1">
        <f t="array" aca="1" ref="Z17" ca="1">calculateSide($V17, Z$13, $V$14)</f>
        <v/>
      </c>
      <c r="AA17" s="294" t="str" cm="1">
        <f t="array" aca="1" ref="AA17" ca="1">calculateSide($V17, AA$13, $V$14)</f>
        <v/>
      </c>
      <c r="AB17" s="294" t="str" cm="1">
        <f t="array" aca="1" ref="AB17" ca="1">calculateSide($V17, AB$13, $V$14)</f>
        <v/>
      </c>
      <c r="AC17" s="294" t="str" cm="1">
        <f t="array" aca="1" ref="AC17" ca="1">calculateSide($V17, AC$13, $V$14)</f>
        <v/>
      </c>
      <c r="AD17" s="294" t="str" cm="1">
        <f t="array" aca="1" ref="AD17" ca="1">calculateSide($V17, AD$13, $V$14)</f>
        <v/>
      </c>
      <c r="AE17" s="294" t="str" cm="1">
        <f t="array" aca="1" ref="AE17" ca="1">calculateSide($V17, AE$13, $V$14)</f>
        <v/>
      </c>
      <c r="AF17" s="294" t="str" cm="1">
        <f t="array" aca="1" ref="AF17" ca="1">calculateSide($V17, AF$13, $V$14)</f>
        <v/>
      </c>
      <c r="AG17" s="294" t="str" cm="1">
        <f t="array" aca="1" ref="AG17" ca="1">calculateSide($V17, AG$13, $V$14)</f>
        <v/>
      </c>
      <c r="AH17" s="380"/>
      <c r="AI17" s="360"/>
    </row>
    <row r="18" spans="3:35" x14ac:dyDescent="0.3">
      <c r="C18" s="349" t="s">
        <v>226</v>
      </c>
      <c r="D18" s="188" t="str" cm="1">
        <f t="array" ref="D18">calculateServingCountSandwich($C18)</f>
        <v>Default</v>
      </c>
      <c r="E18" s="188" t="str" cm="1">
        <f t="array" ref="E18">calculateServingUnitsSandwich($C18)</f>
        <v/>
      </c>
      <c r="F18" s="183" cm="1">
        <f t="array" ref="F18">calculateSandwichItems($C18, F$16, $C$17)</f>
        <v>40</v>
      </c>
      <c r="G18" s="183" cm="1">
        <f t="array" ref="G18">calculateSandwichItems($C18, G$16, $C$17)</f>
        <v>100.4</v>
      </c>
      <c r="H18" s="183" cm="1">
        <f t="array" ref="H18">calculateSandwichItems($C18, H$16, $C$17)</f>
        <v>24</v>
      </c>
      <c r="I18" s="183" cm="1">
        <f t="array" ref="I18">calculateSandwichItems($C18, I$16, $C$17)</f>
        <v>0.2</v>
      </c>
      <c r="J18" s="183" cm="1">
        <f t="array" ref="J18">calculateSandwichItems($C18, J$16, $C$17)</f>
        <v>0</v>
      </c>
      <c r="K18" s="183" cm="1">
        <f t="array" ref="K18">calculateSandwichItems($C18, K$16, $C$17)</f>
        <v>0</v>
      </c>
      <c r="L18" s="183" cm="1">
        <f t="array" ref="L18">calculateSandwichItems($C18, L$16, $C$17)</f>
        <v>7.2</v>
      </c>
      <c r="M18" s="183" cm="1">
        <f t="array" ref="M18">calculateSandwichItems($C18, M$16, $C$17)</f>
        <v>6.4</v>
      </c>
      <c r="N18" s="183" cm="1">
        <f t="array" ref="N18">calculateSandwichItems($C18, N$16, $C$17)</f>
        <v>0.4</v>
      </c>
      <c r="O18" s="183" cm="1">
        <f t="array" ref="O18">calculateSandwichItems($C18, O$16, $C$17)</f>
        <v>3</v>
      </c>
      <c r="P18" s="361"/>
      <c r="Q18" s="368" t="s">
        <v>227</v>
      </c>
      <c r="R18" s="56">
        <f ca="1">IF(R19&gt;0, 1, 0)</f>
        <v>1</v>
      </c>
      <c r="S18" s="175">
        <f ca="1">$W$11+$W$20+$W$27+$W$34+$W$41</f>
        <v>3</v>
      </c>
      <c r="T18" s="177">
        <f t="shared" ref="T18:T28" ca="1" si="3">R18+S18</f>
        <v>4</v>
      </c>
      <c r="U18"/>
      <c r="V18" s="394"/>
      <c r="W18" s="293" t="str" cm="1">
        <f t="array" ref="W18">calculateServingCountSide($V18)</f>
        <v/>
      </c>
      <c r="X18" s="290" t="str" cm="1">
        <f t="array" aca="1" ref="X18" ca="1">calculateSide($V18, X$13, $V$14)</f>
        <v/>
      </c>
      <c r="Y18" s="294" t="str" cm="1">
        <f t="array" aca="1" ref="Y18" ca="1">calculateSide($V18, Y$13, $V$14)</f>
        <v/>
      </c>
      <c r="Z18" s="294" t="str" cm="1">
        <f t="array" aca="1" ref="Z18" ca="1">calculateSide($V18, Z$13, $V$14)</f>
        <v/>
      </c>
      <c r="AA18" s="294" t="str" cm="1">
        <f t="array" aca="1" ref="AA18" ca="1">calculateSide($V18, AA$13, $V$14)</f>
        <v/>
      </c>
      <c r="AB18" s="294" t="str" cm="1">
        <f t="array" aca="1" ref="AB18" ca="1">calculateSide($V18, AB$13, $V$14)</f>
        <v/>
      </c>
      <c r="AC18" s="294" t="str" cm="1">
        <f t="array" aca="1" ref="AC18" ca="1">calculateSide($V18, AC$13, $V$14)</f>
        <v/>
      </c>
      <c r="AD18" s="294" t="str" cm="1">
        <f t="array" aca="1" ref="AD18" ca="1">calculateSide($V18, AD$13, $V$14)</f>
        <v/>
      </c>
      <c r="AE18" s="294" t="str" cm="1">
        <f t="array" aca="1" ref="AE18" ca="1">calculateSide($V18, AE$13, $V$14)</f>
        <v/>
      </c>
      <c r="AF18" s="294" t="str" cm="1">
        <f t="array" aca="1" ref="AF18" ca="1">calculateSide($V18, AF$13, $V$14)</f>
        <v/>
      </c>
      <c r="AG18" s="294" t="str" cm="1">
        <f t="array" aca="1" ref="AG18" ca="1">calculateSide($V18, AG$13, $V$14)</f>
        <v/>
      </c>
      <c r="AH18" s="380"/>
      <c r="AI18" s="360"/>
    </row>
    <row r="19" spans="3:35" ht="29" thickBot="1" x14ac:dyDescent="0.35">
      <c r="C19" s="333" t="s">
        <v>196</v>
      </c>
      <c r="D19" s="188" t="str" cm="1">
        <f t="array" ref="D19">calculateServingCountSandwich($C19)</f>
        <v>Default</v>
      </c>
      <c r="E19" s="188" t="str" cm="1">
        <f t="array" ref="E19">calculateServingUnitsSandwich($C19)</f>
        <v/>
      </c>
      <c r="F19" s="54" cm="1">
        <f t="array" ref="F19">calculateSandwichItems($C19, F$16, $C$17)</f>
        <v>14</v>
      </c>
      <c r="G19" s="54" cm="1">
        <f t="array" ref="G19">calculateSandwichItems($C19, G$16, $C$17)</f>
        <v>23.4</v>
      </c>
      <c r="H19" s="54" cm="1">
        <f t="array" ref="H19">calculateSandwichItems($C19, H$16, $C$17)</f>
        <v>5.6</v>
      </c>
      <c r="I19" s="54" cm="1">
        <f t="array" ref="I19">calculateSandwichItems($C19, I$16, $C$17)</f>
        <v>0.2</v>
      </c>
      <c r="J19" s="54" cm="1">
        <f t="array" ref="J19">calculateSandwichItems($C19, J$16, $C$17)</f>
        <v>0</v>
      </c>
      <c r="K19" s="54" cm="1">
        <f t="array" ref="K19">calculateSandwichItems($C19, K$16, $C$17)</f>
        <v>0</v>
      </c>
      <c r="L19" s="54" cm="1">
        <f t="array" ref="L19">calculateSandwichItems($C19, L$16, $C$17)</f>
        <v>1</v>
      </c>
      <c r="M19" s="54" cm="1">
        <f t="array" ref="M19">calculateSandwichItems($C19, M$16, $C$17)</f>
        <v>0.6</v>
      </c>
      <c r="N19" s="54" cm="1">
        <f t="array" ref="N19">calculateSandwichItems($C19, N$16, $C$17)</f>
        <v>0.2</v>
      </c>
      <c r="O19" s="334" cm="1">
        <f t="array" ref="O19">calculateSandwichItems($C19, O$16, $C$17)</f>
        <v>0.6</v>
      </c>
      <c r="P19" s="361"/>
      <c r="Q19" s="369" t="s">
        <v>140</v>
      </c>
      <c r="R19" s="55">
        <f ca="1">$D$7+$D$13+$F$31+$F$39+$D$62+$D$79+$D$86</f>
        <v>436.8</v>
      </c>
      <c r="S19" s="175">
        <f ca="1">$X$11+$X$20+$X$27+$X$34+$X$41</f>
        <v>350</v>
      </c>
      <c r="T19" s="177">
        <f t="shared" ca="1" si="3"/>
        <v>786.8</v>
      </c>
      <c r="U19"/>
      <c r="V19" s="395"/>
      <c r="W19" s="293" t="str" cm="1">
        <f t="array" ref="W19">calculateServingCountSide($V19)</f>
        <v/>
      </c>
      <c r="X19" s="296" t="str" cm="1">
        <f t="array" aca="1" ref="X19" ca="1">calculateSide($V19, X$13, $V$14)</f>
        <v/>
      </c>
      <c r="Y19" s="294" t="str" cm="1">
        <f t="array" aca="1" ref="Y19" ca="1">calculateSide($V19, Y$13, $V$14)</f>
        <v/>
      </c>
      <c r="Z19" s="294" t="str" cm="1">
        <f t="array" aca="1" ref="Z19" ca="1">calculateSide($V19, Z$13, $V$14)</f>
        <v/>
      </c>
      <c r="AA19" s="294" t="str" cm="1">
        <f t="array" aca="1" ref="AA19" ca="1">calculateSide($V19, AA$13, $V$14)</f>
        <v/>
      </c>
      <c r="AB19" s="294" t="str" cm="1">
        <f t="array" aca="1" ref="AB19" ca="1">calculateSide($V19, AB$13, $V$14)</f>
        <v/>
      </c>
      <c r="AC19" s="294" t="str" cm="1">
        <f t="array" aca="1" ref="AC19" ca="1">calculateSide($V19, AC$13, $V$14)</f>
        <v/>
      </c>
      <c r="AD19" s="294" t="str" cm="1">
        <f t="array" aca="1" ref="AD19" ca="1">calculateSide($V19, AD$13, $V$14)</f>
        <v/>
      </c>
      <c r="AE19" s="294" t="str" cm="1">
        <f t="array" aca="1" ref="AE19" ca="1">calculateSide($V19, AE$13, $V$14)</f>
        <v/>
      </c>
      <c r="AF19" s="294" t="str" cm="1">
        <f t="array" aca="1" ref="AF19" ca="1">calculateSide($V19, AF$13, $V$14)</f>
        <v/>
      </c>
      <c r="AG19" s="294" t="str" cm="1">
        <f t="array" aca="1" ref="AG19" ca="1">calculateSide($V19, AG$13, $V$14)</f>
        <v/>
      </c>
      <c r="AH19" s="380"/>
      <c r="AI19" s="360"/>
    </row>
    <row r="20" spans="3:35" ht="29" thickBot="1" x14ac:dyDescent="0.35">
      <c r="C20" s="333" t="s">
        <v>195</v>
      </c>
      <c r="D20" s="188" t="str" cm="1">
        <f t="array" ref="D20">calculateServingCountSandwich($C20)</f>
        <v>Default</v>
      </c>
      <c r="E20" s="188" t="str" cm="1">
        <f t="array" ref="E20">calculateServingUnitsSandwich($C20)</f>
        <v/>
      </c>
      <c r="F20" s="54" cm="1">
        <f t="array" ref="F20">calculateSandwichItems($C20, F$16, $C$17)</f>
        <v>42</v>
      </c>
      <c r="G20" s="54" cm="1">
        <f t="array" ref="G20">calculateSandwichItems($C20, G$16, $C$17)</f>
        <v>24.6</v>
      </c>
      <c r="H20" s="54" cm="1">
        <f t="array" ref="H20">calculateSandwichItems($C20, H$16, $C$17)</f>
        <v>5.8</v>
      </c>
      <c r="I20" s="54" cm="1">
        <f t="array" ref="I20">calculateSandwichItems($C20, I$16, $C$17)</f>
        <v>0.4</v>
      </c>
      <c r="J20" s="54" cm="1">
        <f t="array" ref="J20">calculateSandwichItems($C20, J$16, $C$17)</f>
        <v>0</v>
      </c>
      <c r="K20" s="54" cm="1">
        <f t="array" ref="K20">calculateSandwichItems($C20, K$16, $C$17)</f>
        <v>0</v>
      </c>
      <c r="L20" s="54" cm="1">
        <f t="array" ref="L20">calculateSandwichItems($C20, L$16, $C$17)</f>
        <v>0.8</v>
      </c>
      <c r="M20" s="54" cm="1">
        <f t="array" ref="M20">calculateSandwichItems($C20, M$16, $C$17)</f>
        <v>0.8</v>
      </c>
      <c r="N20" s="54" cm="1">
        <f t="array" ref="N20">calculateSandwichItems($C20, N$16, $C$17)</f>
        <v>0.6</v>
      </c>
      <c r="O20" s="334" cm="1">
        <f t="array" ref="O20">calculateSandwichItems($C20, O$16, $C$17)</f>
        <v>4.2</v>
      </c>
      <c r="P20" s="361"/>
      <c r="Q20" s="369" t="s">
        <v>141</v>
      </c>
      <c r="R20" s="55">
        <f ca="1">$E$7+$E$13+$G$31+$G$39+$E$62+$E$79+$E$86</f>
        <v>3902.3999999999996</v>
      </c>
      <c r="S20" s="175">
        <f ca="1">$Y$11+$Y$20+$Y$27+$Y$34+$Y$41</f>
        <v>3210</v>
      </c>
      <c r="T20" s="177">
        <f t="shared" ca="1" si="3"/>
        <v>7112.4</v>
      </c>
      <c r="U20"/>
      <c r="V20" s="383" t="s">
        <v>254</v>
      </c>
      <c r="W20" s="384">
        <f>SUM(W15:W19)</f>
        <v>0</v>
      </c>
      <c r="X20" s="384">
        <f t="shared" ref="X20:AF20" ca="1" si="4">SUM(X15:X19)</f>
        <v>0</v>
      </c>
      <c r="Y20" s="384">
        <f t="shared" ca="1" si="4"/>
        <v>0</v>
      </c>
      <c r="Z20" s="384">
        <f t="shared" ca="1" si="4"/>
        <v>0</v>
      </c>
      <c r="AA20" s="384">
        <f t="shared" ca="1" si="4"/>
        <v>0</v>
      </c>
      <c r="AB20" s="384">
        <f t="shared" ca="1" si="4"/>
        <v>0</v>
      </c>
      <c r="AC20" s="384">
        <f t="shared" ca="1" si="4"/>
        <v>0</v>
      </c>
      <c r="AD20" s="384">
        <f t="shared" ca="1" si="4"/>
        <v>0</v>
      </c>
      <c r="AE20" s="384">
        <f t="shared" ca="1" si="4"/>
        <v>0</v>
      </c>
      <c r="AF20" s="384">
        <f t="shared" ca="1" si="4"/>
        <v>0</v>
      </c>
      <c r="AG20" s="385">
        <f t="shared" ref="AG20" ca="1" si="5">SUM(AG15:AG19)</f>
        <v>0</v>
      </c>
      <c r="AH20" s="380"/>
      <c r="AI20" s="360"/>
    </row>
    <row r="21" spans="3:35" x14ac:dyDescent="0.3">
      <c r="C21" s="333" t="s">
        <v>221</v>
      </c>
      <c r="D21" s="188" t="str" cm="1">
        <f t="array" aca="1" ref="D21" ca="1">calculateServingCountSandwich($C21)</f>
        <v>Default</v>
      </c>
      <c r="E21" s="188" t="str" cm="1">
        <f t="array" aca="1" ref="E21" ca="1">calculateServingUnitsSandwich($C21)</f>
        <v>Strips</v>
      </c>
      <c r="F21" s="54" cm="1">
        <f t="array" aca="1" ref="F21" ca="1">calculateSandwichItems($C21, F$16, $C$17)</f>
        <v>14</v>
      </c>
      <c r="G21" s="54" cm="1">
        <f t="array" aca="1" ref="G21" ca="1">calculateSandwichItems($C21, G$16, $C$17)</f>
        <v>11.8</v>
      </c>
      <c r="H21" s="54" cm="1">
        <f t="array" aca="1" ref="H21" ca="1">calculateSandwichItems($C21, H$16, $C$17)</f>
        <v>2.8</v>
      </c>
      <c r="I21" s="54" cm="1">
        <f t="array" aca="1" ref="I21" ca="1">calculateSandwichItems($C21, I$16, $C$17)</f>
        <v>0.2</v>
      </c>
      <c r="J21" s="54" cm="1">
        <f t="array" aca="1" ref="J21" ca="1">calculateSandwichItems($C21, J$16, $C$17)</f>
        <v>0</v>
      </c>
      <c r="K21" s="54" cm="1">
        <f t="array" aca="1" ref="K21" ca="1">calculateSandwichItems($C21, K$16, $C$17)</f>
        <v>0</v>
      </c>
      <c r="L21" s="54" cm="1">
        <f t="array" aca="1" ref="L21" ca="1">calculateSandwichItems($C21, L$16, $C$17)</f>
        <v>0.4</v>
      </c>
      <c r="M21" s="54" cm="1">
        <f t="array" aca="1" ref="M21" ca="1">calculateSandwichItems($C21, M$16, $C$17)</f>
        <v>0.4</v>
      </c>
      <c r="N21" s="54" cm="1">
        <f t="array" aca="1" ref="N21" ca="1">calculateSandwichItems($C21, N$16, $C$17)</f>
        <v>0.2</v>
      </c>
      <c r="O21" s="334" cm="1">
        <f t="array" aca="1" ref="O21" ca="1">calculateSandwichItems($C21, O$16, $C$17)</f>
        <v>0.4</v>
      </c>
      <c r="P21" s="361"/>
      <c r="Q21" s="369" t="s">
        <v>142</v>
      </c>
      <c r="R21" s="55">
        <f ca="1">$F$7+$F$13+$H$31+$H$39+$F$62+$F$79+$F$86</f>
        <v>935.00000000000011</v>
      </c>
      <c r="S21" s="175">
        <f ca="1">$Z$11+$Z$20+$Z$27+$Z$34+$Z$41</f>
        <v>764.4</v>
      </c>
      <c r="T21" s="177">
        <f t="shared" ca="1" si="3"/>
        <v>1699.4</v>
      </c>
      <c r="U21"/>
      <c r="V21" s="57"/>
      <c r="W21" s="49"/>
      <c r="X21" s="49"/>
      <c r="Y21" s="49"/>
      <c r="Z21" s="49"/>
      <c r="AA21" s="49"/>
      <c r="AB21" s="49"/>
      <c r="AC21" s="49"/>
      <c r="AD21" s="49"/>
      <c r="AE21" s="49"/>
      <c r="AF21" s="49"/>
      <c r="AG21" s="49"/>
      <c r="AH21" s="379"/>
      <c r="AI21" s="360"/>
    </row>
    <row r="22" spans="3:35" ht="29" thickBot="1" x14ac:dyDescent="0.35">
      <c r="C22" s="333"/>
      <c r="D22" s="188" t="str" cm="1">
        <f t="array" ref="D22">calculateServingCountSandwich($C22)</f>
        <v/>
      </c>
      <c r="E22" s="188" t="str" cm="1">
        <f t="array" ref="E22">calculateServingUnitsSandwich($C22)</f>
        <v/>
      </c>
      <c r="F22" s="54" t="str" cm="1">
        <f t="array" ref="F22">calculateSandwichItems($C22, F$16, $C$17)</f>
        <v/>
      </c>
      <c r="G22" s="54" t="str" cm="1">
        <f t="array" ref="G22">calculateSandwichItems($C22, G$16, $C$17)</f>
        <v/>
      </c>
      <c r="H22" s="54" t="str" cm="1">
        <f t="array" ref="H22">calculateSandwichItems($C22, H$16, $C$17)</f>
        <v/>
      </c>
      <c r="I22" s="54" t="str" cm="1">
        <f t="array" ref="I22">calculateSandwichItems($C22, I$16, $C$17)</f>
        <v/>
      </c>
      <c r="J22" s="54" t="str" cm="1">
        <f t="array" ref="J22">calculateSandwichItems($C22, J$16, $C$17)</f>
        <v/>
      </c>
      <c r="K22" s="54" t="str" cm="1">
        <f t="array" ref="K22">calculateSandwichItems($C22, K$16, $C$17)</f>
        <v/>
      </c>
      <c r="L22" s="54" t="str" cm="1">
        <f t="array" ref="L22">calculateSandwichItems($C22, L$16, $C$17)</f>
        <v/>
      </c>
      <c r="M22" s="54" t="str" cm="1">
        <f t="array" ref="M22">calculateSandwichItems($C22, M$16, $C$17)</f>
        <v/>
      </c>
      <c r="N22" s="54" t="str" cm="1">
        <f t="array" ref="N22">calculateSandwichItems($C22, N$16, $C$17)</f>
        <v/>
      </c>
      <c r="O22" s="334" t="str" cm="1">
        <f t="array" ref="O22">calculateSandwichItems($C22, O$16, $C$17)</f>
        <v/>
      </c>
      <c r="P22" s="361"/>
      <c r="Q22" s="369" t="s">
        <v>143</v>
      </c>
      <c r="R22" s="55">
        <f ca="1">$G$7+$G$13+$I$31+$I$39+$G$62+$G$79+$G$86</f>
        <v>49.2</v>
      </c>
      <c r="S22" s="175">
        <f ca="1">$AA$11+$AA$20+$AA$27+$AA$34+$AA$41</f>
        <v>12.6</v>
      </c>
      <c r="T22" s="177">
        <f t="shared" ca="1" si="3"/>
        <v>61.800000000000004</v>
      </c>
      <c r="U22"/>
      <c r="V22" s="57"/>
      <c r="W22" s="50"/>
      <c r="X22" s="185">
        <v>2</v>
      </c>
      <c r="Y22" s="186">
        <v>3</v>
      </c>
      <c r="Z22" s="186">
        <v>4</v>
      </c>
      <c r="AA22" s="186">
        <v>5</v>
      </c>
      <c r="AB22" s="186">
        <v>6</v>
      </c>
      <c r="AC22" s="186">
        <v>7</v>
      </c>
      <c r="AD22" s="186">
        <v>8</v>
      </c>
      <c r="AE22" s="186">
        <v>9</v>
      </c>
      <c r="AF22" s="186">
        <v>10</v>
      </c>
      <c r="AG22" s="187">
        <v>11</v>
      </c>
      <c r="AH22" s="381"/>
      <c r="AI22" s="360"/>
    </row>
    <row r="23" spans="3:35" ht="29" thickBot="1" x14ac:dyDescent="0.35">
      <c r="C23" s="333"/>
      <c r="D23" s="188" t="str" cm="1">
        <f t="array" ref="D23">calculateServingCountSandwich($C23)</f>
        <v/>
      </c>
      <c r="E23" s="188" t="str" cm="1">
        <f t="array" ref="E23">calculateServingUnitsSandwich($C23)</f>
        <v/>
      </c>
      <c r="F23" s="54" t="str" cm="1">
        <f t="array" ref="F23">calculateSandwichItems($C23, F$16, $C$17)</f>
        <v/>
      </c>
      <c r="G23" s="54" t="str" cm="1">
        <f t="array" ref="G23">calculateSandwichItems($C23, G$16, $C$17)</f>
        <v/>
      </c>
      <c r="H23" s="54" t="str" cm="1">
        <f t="array" ref="H23">calculateSandwichItems($C23, H$16, $C$17)</f>
        <v/>
      </c>
      <c r="I23" s="54" t="str" cm="1">
        <f t="array" ref="I23">calculateSandwichItems($C23, I$16, $C$17)</f>
        <v/>
      </c>
      <c r="J23" s="54" t="str" cm="1">
        <f t="array" ref="J23">calculateSandwichItems($C23, J$16, $C$17)</f>
        <v/>
      </c>
      <c r="K23" s="54" t="str" cm="1">
        <f t="array" ref="K23">calculateSandwichItems($C23, K$16, $C$17)</f>
        <v/>
      </c>
      <c r="L23" s="54" t="str" cm="1">
        <f t="array" ref="L23">calculateSandwichItems($C23, L$16, $C$17)</f>
        <v/>
      </c>
      <c r="M23" s="54" t="str" cm="1">
        <f t="array" ref="M23">calculateSandwichItems($C23, M$16, $C$17)</f>
        <v/>
      </c>
      <c r="N23" s="54" t="str" cm="1">
        <f t="array" ref="N23">calculateSandwichItems($C23, N$16, $C$17)</f>
        <v/>
      </c>
      <c r="O23" s="334" t="str" cm="1">
        <f t="array" ref="O23">calculateSandwichItems($C23, O$16, $C$17)</f>
        <v/>
      </c>
      <c r="P23" s="361"/>
      <c r="Q23" s="369" t="s">
        <v>144</v>
      </c>
      <c r="R23" s="55">
        <f ca="1">$H$7+$H$13+$J$31+$J$39+$H$62+$H$79+$H$86</f>
        <v>31.2</v>
      </c>
      <c r="S23" s="175">
        <f ca="1">$AB$11+$AB$20+$AB$27+$AB$34+$AB$41</f>
        <v>31.2</v>
      </c>
      <c r="T23" s="177">
        <f t="shared" ca="1" si="3"/>
        <v>62.4</v>
      </c>
      <c r="U23"/>
      <c r="V23" s="337" t="s">
        <v>309</v>
      </c>
      <c r="W23" s="389" t="s">
        <v>227</v>
      </c>
      <c r="X23" s="389" t="s">
        <v>140</v>
      </c>
      <c r="Y23" s="389" t="s">
        <v>141</v>
      </c>
      <c r="Z23" s="389" t="s">
        <v>142</v>
      </c>
      <c r="AA23" s="389" t="s">
        <v>143</v>
      </c>
      <c r="AB23" s="389" t="s">
        <v>144</v>
      </c>
      <c r="AC23" s="389" t="s">
        <v>145</v>
      </c>
      <c r="AD23" s="389" t="s">
        <v>146</v>
      </c>
      <c r="AE23" s="389" t="s">
        <v>147</v>
      </c>
      <c r="AF23" s="389" t="s">
        <v>148</v>
      </c>
      <c r="AG23" s="390" t="s">
        <v>149</v>
      </c>
      <c r="AH23" s="380"/>
      <c r="AI23" s="360"/>
    </row>
    <row r="24" spans="3:35" x14ac:dyDescent="0.3">
      <c r="C24" s="333"/>
      <c r="D24" s="188" t="str" cm="1">
        <f t="array" ref="D24">calculateServingCountSandwich($C24)</f>
        <v/>
      </c>
      <c r="E24" s="188" t="str" cm="1">
        <f t="array" ref="E24">calculateServingUnitsSandwich($C24)</f>
        <v/>
      </c>
      <c r="F24" s="54" t="str" cm="1">
        <f t="array" ref="F24">calculateSandwichItems($C24, F$16, $C$17)</f>
        <v/>
      </c>
      <c r="G24" s="54" t="str" cm="1">
        <f t="array" ref="G24">calculateSandwichItems($C24, G$16, $C$17)</f>
        <v/>
      </c>
      <c r="H24" s="54" t="str" cm="1">
        <f t="array" ref="H24">calculateSandwichItems($C24, H$16, $C$17)</f>
        <v/>
      </c>
      <c r="I24" s="54" t="str" cm="1">
        <f t="array" ref="I24">calculateSandwichItems($C24, I$16, $C$17)</f>
        <v/>
      </c>
      <c r="J24" s="54" t="str" cm="1">
        <f t="array" ref="J24">calculateSandwichItems($C24, J$16, $C$17)</f>
        <v/>
      </c>
      <c r="K24" s="54" t="str" cm="1">
        <f t="array" ref="K24">calculateSandwichItems($C24, K$16, $C$17)</f>
        <v/>
      </c>
      <c r="L24" s="54" t="str" cm="1">
        <f t="array" ref="L24">calculateSandwichItems($C24, L$16, $C$17)</f>
        <v/>
      </c>
      <c r="M24" s="54" t="str" cm="1">
        <f t="array" ref="M24">calculateSandwichItems($C24, M$16, $C$17)</f>
        <v/>
      </c>
      <c r="N24" s="54" t="str" cm="1">
        <f t="array" ref="N24">calculateSandwichItems($C24, N$16, $C$17)</f>
        <v/>
      </c>
      <c r="O24" s="334" t="str" cm="1">
        <f t="array" ref="O24">calculateSandwichItems($C24, O$16, $C$17)</f>
        <v/>
      </c>
      <c r="P24" s="361"/>
      <c r="Q24" s="369" t="s">
        <v>145</v>
      </c>
      <c r="R24" s="55">
        <f ca="1">$I$7+$I$13+$K$31+$K$39+$I$62+$I$79+$I$86</f>
        <v>12.8</v>
      </c>
      <c r="S24" s="175">
        <f ca="1">$AC$11+$AC$20+$AC$27+$AC$34+$AC$41</f>
        <v>18.2</v>
      </c>
      <c r="T24" s="177">
        <f t="shared" ca="1" si="3"/>
        <v>31</v>
      </c>
      <c r="U24"/>
      <c r="V24" s="399" t="s">
        <v>137</v>
      </c>
      <c r="W24" s="292" cm="1">
        <f t="array" aca="1" ref="W24" ca="1">calculateServingCountSide($V24)</f>
        <v>2</v>
      </c>
      <c r="X24" s="292" cm="1">
        <f t="array" aca="1" ref="X24" ca="1">calculateSide($V24, X$22, $V$23)</f>
        <v>230</v>
      </c>
      <c r="Y24" s="292" cm="1">
        <f t="array" aca="1" ref="Y24" ca="1">calculateSide($V24, Y$22, $V$23)</f>
        <v>2840</v>
      </c>
      <c r="Z24" s="292" cm="1">
        <f t="array" aca="1" ref="Z24" ca="1">calculateSide($V24, Z$22, $V$23)</f>
        <v>676</v>
      </c>
      <c r="AA24" s="292" cm="1">
        <f t="array" aca="1" ref="AA24" ca="1">calculateSide($V24, AA$22, $V$23)</f>
        <v>12.2</v>
      </c>
      <c r="AB24" s="292" cm="1">
        <f t="array" aca="1" ref="AB24" ca="1">calculateSide($V24, AB$22, $V$23)</f>
        <v>31</v>
      </c>
      <c r="AC24" s="292" cm="1">
        <f t="array" aca="1" ref="AC24" ca="1">calculateSide($V24, AC$22, $V$23)</f>
        <v>18.2</v>
      </c>
      <c r="AD24" s="292" cm="1">
        <f t="array" aca="1" ref="AD24" ca="1">calculateSide($V24, AD$22, $V$23)</f>
        <v>85</v>
      </c>
      <c r="AE24" s="292" cm="1">
        <f t="array" aca="1" ref="AE24" ca="1">calculateSide($V24, AE$22, $V$23)</f>
        <v>27.8</v>
      </c>
      <c r="AF24" s="292" cm="1">
        <f t="array" aca="1" ref="AF24" ca="1">calculateSide($V24, AF$22, $V$23)</f>
        <v>0</v>
      </c>
      <c r="AG24" s="376" cm="1">
        <f t="array" aca="1" ref="AG24" ca="1">calculateSide($V24, AG$22, $V$23)</f>
        <v>714</v>
      </c>
      <c r="AH24" s="361"/>
      <c r="AI24" s="360"/>
    </row>
    <row r="25" spans="3:35" x14ac:dyDescent="0.3">
      <c r="C25" s="333"/>
      <c r="D25" s="188" t="str" cm="1">
        <f t="array" ref="D25">calculateServingCountSandwich($C25)</f>
        <v/>
      </c>
      <c r="E25" s="188" t="str" cm="1">
        <f t="array" ref="E25">calculateServingUnitsSandwich($C25)</f>
        <v/>
      </c>
      <c r="F25" s="54" t="str" cm="1">
        <f t="array" ref="F25">calculateSandwichItems($C25, F$16, $C$17)</f>
        <v/>
      </c>
      <c r="G25" s="54" t="str" cm="1">
        <f t="array" ref="G25">calculateSandwichItems($C25, G$16, $C$17)</f>
        <v/>
      </c>
      <c r="H25" s="54" t="str" cm="1">
        <f t="array" ref="H25">calculateSandwichItems($C25, H$16, $C$17)</f>
        <v/>
      </c>
      <c r="I25" s="54" t="str" cm="1">
        <f t="array" ref="I25">calculateSandwichItems($C25, I$16, $C$17)</f>
        <v/>
      </c>
      <c r="J25" s="54" t="str" cm="1">
        <f t="array" ref="J25">calculateSandwichItems($C25, J$16, $C$17)</f>
        <v/>
      </c>
      <c r="K25" s="54" t="str" cm="1">
        <f t="array" ref="K25">calculateSandwichItems($C25, K$16, $C$17)</f>
        <v/>
      </c>
      <c r="L25" s="54" t="str" cm="1">
        <f t="array" ref="L25">calculateSandwichItems($C25, L$16, $C$17)</f>
        <v/>
      </c>
      <c r="M25" s="54" t="str" cm="1">
        <f t="array" ref="M25">calculateSandwichItems($C25, M$16, $C$17)</f>
        <v/>
      </c>
      <c r="N25" s="54" t="str" cm="1">
        <f t="array" ref="N25">calculateSandwichItems($C25, N$16, $C$17)</f>
        <v/>
      </c>
      <c r="O25" s="334" t="str" cm="1">
        <f t="array" ref="O25">calculateSandwichItems($C25, O$16, $C$17)</f>
        <v/>
      </c>
      <c r="P25" s="361"/>
      <c r="Q25" s="369" t="s">
        <v>146</v>
      </c>
      <c r="R25" s="55">
        <f ca="1">$J$7+$J$13+$L$31+$L$39+$J$62+$J$79+$J$86</f>
        <v>113.00000000000001</v>
      </c>
      <c r="S25" s="175">
        <f ca="1">$AD$11+$AD$20+$AD$27+$AD$34+$AD$41</f>
        <v>105.3</v>
      </c>
      <c r="T25" s="177">
        <f t="shared" ca="1" si="3"/>
        <v>218.3</v>
      </c>
      <c r="U25"/>
      <c r="V25" s="400"/>
      <c r="W25" s="292" t="str" cm="1">
        <f t="array" ref="W25">calculateServingCountSide($V25)</f>
        <v/>
      </c>
      <c r="X25" s="288" t="str" cm="1">
        <f t="array" aca="1" ref="X25" ca="1">calculateSide($V25, X$22, $V$23)</f>
        <v/>
      </c>
      <c r="Y25" s="292" t="str" cm="1">
        <f t="array" aca="1" ref="Y25" ca="1">calculateSide($V25, Y$22, $V$23)</f>
        <v/>
      </c>
      <c r="Z25" s="292" t="str" cm="1">
        <f t="array" aca="1" ref="Z25" ca="1">calculateSide($V25, Z$22, $V$23)</f>
        <v/>
      </c>
      <c r="AA25" s="292" t="str" cm="1">
        <f t="array" aca="1" ref="AA25" ca="1">calculateSide($V25, AA$22, $V$23)</f>
        <v/>
      </c>
      <c r="AB25" s="292" t="str" cm="1">
        <f t="array" aca="1" ref="AB25" ca="1">calculateSide($V25, AB$22, $V$23)</f>
        <v/>
      </c>
      <c r="AC25" s="292" t="str" cm="1">
        <f t="array" aca="1" ref="AC25" ca="1">calculateSide($V25, AC$22, $V$23)</f>
        <v/>
      </c>
      <c r="AD25" s="292" t="str" cm="1">
        <f t="array" aca="1" ref="AD25" ca="1">calculateSide($V25, AD$22, $V$23)</f>
        <v/>
      </c>
      <c r="AE25" s="292" t="str" cm="1">
        <f t="array" aca="1" ref="AE25" ca="1">calculateSide($V25, AE$22, $V$23)</f>
        <v/>
      </c>
      <c r="AF25" s="292" t="str" cm="1">
        <f t="array" aca="1" ref="AF25" ca="1">calculateSide($V25, AF$22, $V$23)</f>
        <v/>
      </c>
      <c r="AG25" s="292" t="str" cm="1">
        <f t="array" aca="1" ref="AG25" ca="1">calculateSide($V25, AG$22, $V$23)</f>
        <v/>
      </c>
      <c r="AH25" s="361"/>
      <c r="AI25" s="360"/>
    </row>
    <row r="26" spans="3:35" ht="29" thickBot="1" x14ac:dyDescent="0.35">
      <c r="C26" s="333"/>
      <c r="D26" s="188" t="str" cm="1">
        <f t="array" ref="D26">calculateServingCountSandwich($C26)</f>
        <v/>
      </c>
      <c r="E26" s="188" t="str" cm="1">
        <f t="array" ref="E26">calculateServingUnitsSandwich($C26)</f>
        <v/>
      </c>
      <c r="F26" s="54" t="str" cm="1">
        <f t="array" ref="F26">calculateSandwichItems($C26, F$16, $C$17)</f>
        <v/>
      </c>
      <c r="G26" s="54" t="str" cm="1">
        <f t="array" ref="G26">calculateSandwichItems($C26, G$16, $C$17)</f>
        <v/>
      </c>
      <c r="H26" s="54" t="str" cm="1">
        <f t="array" ref="H26">calculateSandwichItems($C26, H$16, $C$17)</f>
        <v/>
      </c>
      <c r="I26" s="54" t="str" cm="1">
        <f t="array" ref="I26">calculateSandwichItems($C26, I$16, $C$17)</f>
        <v/>
      </c>
      <c r="J26" s="54" t="str" cm="1">
        <f t="array" ref="J26">calculateSandwichItems($C26, J$16, $C$17)</f>
        <v/>
      </c>
      <c r="K26" s="54" t="str" cm="1">
        <f t="array" ref="K26">calculateSandwichItems($C26, K$16, $C$17)</f>
        <v/>
      </c>
      <c r="L26" s="54" t="str" cm="1">
        <f t="array" ref="L26">calculateSandwichItems($C26, L$16, $C$17)</f>
        <v/>
      </c>
      <c r="M26" s="54" t="str" cm="1">
        <f t="array" ref="M26">calculateSandwichItems($C26, M$16, $C$17)</f>
        <v/>
      </c>
      <c r="N26" s="54" t="str" cm="1">
        <f t="array" ref="N26">calculateSandwichItems($C26, N$16, $C$17)</f>
        <v/>
      </c>
      <c r="O26" s="334" t="str" cm="1">
        <f t="array" ref="O26">calculateSandwichItems($C26, O$16, $C$17)</f>
        <v/>
      </c>
      <c r="P26" s="361"/>
      <c r="Q26" s="369" t="s">
        <v>147</v>
      </c>
      <c r="R26" s="55">
        <f ca="1">$K$7+$K$13+$M$31+$M$39+$K$62+$K$79+$K$86</f>
        <v>35.200000000000003</v>
      </c>
      <c r="S26" s="175">
        <f ca="1">$AE$11+$AE$20+$AE$27+$AE$34+$AE$41</f>
        <v>46.2</v>
      </c>
      <c r="T26" s="177">
        <f t="shared" ca="1" si="3"/>
        <v>81.400000000000006</v>
      </c>
      <c r="U26"/>
      <c r="V26" s="401"/>
      <c r="W26" s="292" t="str" cm="1">
        <f t="array" ref="W26">calculateServingCountSide($V26)</f>
        <v/>
      </c>
      <c r="X26" s="291" t="str" cm="1">
        <f t="array" aca="1" ref="X26" ca="1">calculateSide($V26, X$22, $V$23)</f>
        <v/>
      </c>
      <c r="Y26" s="292" t="str" cm="1">
        <f t="array" aca="1" ref="Y26" ca="1">calculateSide($V26, Y$22, $V$23)</f>
        <v/>
      </c>
      <c r="Z26" s="292" t="str" cm="1">
        <f t="array" aca="1" ref="Z26" ca="1">calculateSide($V26, Z$22, $V$23)</f>
        <v/>
      </c>
      <c r="AA26" s="292" t="str" cm="1">
        <f t="array" aca="1" ref="AA26" ca="1">calculateSide($V26, AA$22, $V$23)</f>
        <v/>
      </c>
      <c r="AB26" s="292" t="str" cm="1">
        <f t="array" aca="1" ref="AB26" ca="1">calculateSide($V26, AB$22, $V$23)</f>
        <v/>
      </c>
      <c r="AC26" s="292" t="str" cm="1">
        <f t="array" aca="1" ref="AC26" ca="1">calculateSide($V26, AC$22, $V$23)</f>
        <v/>
      </c>
      <c r="AD26" s="292" t="str" cm="1">
        <f t="array" aca="1" ref="AD26" ca="1">calculateSide($V26, AD$22, $V$23)</f>
        <v/>
      </c>
      <c r="AE26" s="292" t="str" cm="1">
        <f t="array" aca="1" ref="AE26" ca="1">calculateSide($V26, AE$22, $V$23)</f>
        <v/>
      </c>
      <c r="AF26" s="292" t="str" cm="1">
        <f t="array" aca="1" ref="AF26" ca="1">calculateSide($V26, AF$22, $V$23)</f>
        <v/>
      </c>
      <c r="AG26" s="292" t="str" cm="1">
        <f t="array" aca="1" ref="AG26" ca="1">calculateSide($V26, AG$22, $V$23)</f>
        <v/>
      </c>
      <c r="AH26" s="361"/>
      <c r="AI26" s="360"/>
    </row>
    <row r="27" spans="3:35" ht="29" thickBot="1" x14ac:dyDescent="0.35">
      <c r="C27" s="333"/>
      <c r="D27" s="188" t="str" cm="1">
        <f t="array" ref="D27">calculateServingCountSandwich($C27)</f>
        <v/>
      </c>
      <c r="E27" s="188" t="str" cm="1">
        <f t="array" ref="E27">calculateServingUnitsSandwich($C27)</f>
        <v/>
      </c>
      <c r="F27" s="54" t="str" cm="1">
        <f t="array" ref="F27">calculateSandwichItems($C27, F$16, $C$17)</f>
        <v/>
      </c>
      <c r="G27" s="54" t="str" cm="1">
        <f t="array" ref="G27">calculateSandwichItems($C27, G$16, $C$17)</f>
        <v/>
      </c>
      <c r="H27" s="54" t="str" cm="1">
        <f t="array" ref="H27">calculateSandwichItems($C27, H$16, $C$17)</f>
        <v/>
      </c>
      <c r="I27" s="54" t="str" cm="1">
        <f t="array" ref="I27">calculateSandwichItems($C27, I$16, $C$17)</f>
        <v/>
      </c>
      <c r="J27" s="54" t="str" cm="1">
        <f t="array" ref="J27">calculateSandwichItems($C27, J$16, $C$17)</f>
        <v/>
      </c>
      <c r="K27" s="54" t="str" cm="1">
        <f t="array" ref="K27">calculateSandwichItems($C27, K$16, $C$17)</f>
        <v/>
      </c>
      <c r="L27" s="54" t="str" cm="1">
        <f t="array" ref="L27">calculateSandwichItems($C27, L$16, $C$17)</f>
        <v/>
      </c>
      <c r="M27" s="54" t="str" cm="1">
        <f t="array" ref="M27">calculateSandwichItems($C27, M$16, $C$17)</f>
        <v/>
      </c>
      <c r="N27" s="54" t="str" cm="1">
        <f t="array" ref="N27">calculateSandwichItems($C27, N$16, $C$17)</f>
        <v/>
      </c>
      <c r="O27" s="334" t="str" cm="1">
        <f t="array" ref="O27">calculateSandwichItems($C27, O$16, $C$17)</f>
        <v/>
      </c>
      <c r="P27" s="361"/>
      <c r="Q27" s="369" t="s">
        <v>148</v>
      </c>
      <c r="R27" s="55">
        <f ca="1">$L$7+$L$13+$N$31+$N$39+$L$62+$L$79+$L$86</f>
        <v>5</v>
      </c>
      <c r="S27" s="175">
        <f ca="1">$AF$11+$AF$20+$AF$27+$AF$34+$AF$41</f>
        <v>1.1000000000000001</v>
      </c>
      <c r="T27" s="177">
        <f t="shared" ca="1" si="3"/>
        <v>6.1</v>
      </c>
      <c r="U27"/>
      <c r="V27" s="337" t="s">
        <v>254</v>
      </c>
      <c r="W27" s="338">
        <f ca="1">SUM(W24:W26)</f>
        <v>2</v>
      </c>
      <c r="X27" s="338">
        <f t="shared" ref="X27:AG27" ca="1" si="6">SUM(X24:X26)</f>
        <v>230</v>
      </c>
      <c r="Y27" s="338">
        <f t="shared" ca="1" si="6"/>
        <v>2840</v>
      </c>
      <c r="Z27" s="338">
        <f t="shared" ca="1" si="6"/>
        <v>676</v>
      </c>
      <c r="AA27" s="338">
        <f t="shared" ca="1" si="6"/>
        <v>12.2</v>
      </c>
      <c r="AB27" s="338">
        <f t="shared" ca="1" si="6"/>
        <v>31</v>
      </c>
      <c r="AC27" s="338">
        <f t="shared" ca="1" si="6"/>
        <v>18.2</v>
      </c>
      <c r="AD27" s="338">
        <f t="shared" ca="1" si="6"/>
        <v>85</v>
      </c>
      <c r="AE27" s="338">
        <f t="shared" ca="1" si="6"/>
        <v>27.8</v>
      </c>
      <c r="AF27" s="338">
        <f t="shared" ca="1" si="6"/>
        <v>0</v>
      </c>
      <c r="AG27" s="339">
        <f t="shared" ca="1" si="6"/>
        <v>714</v>
      </c>
      <c r="AH27" s="361"/>
      <c r="AI27" s="360"/>
    </row>
    <row r="28" spans="3:35" x14ac:dyDescent="0.3">
      <c r="C28" s="333"/>
      <c r="D28" s="188" t="str" cm="1">
        <f t="array" ref="D28">calculateServingCountSandwich($C28)</f>
        <v/>
      </c>
      <c r="E28" s="188" t="str" cm="1">
        <f t="array" ref="E28">calculateServingUnitsSandwich($C28)</f>
        <v/>
      </c>
      <c r="F28" s="54" t="str" cm="1">
        <f t="array" ref="F28">calculateSandwichItems($C28, F$16, $C$17)</f>
        <v/>
      </c>
      <c r="G28" s="54" t="str" cm="1">
        <f t="array" ref="G28">calculateSandwichItems($C28, G$16, $C$17)</f>
        <v/>
      </c>
      <c r="H28" s="54" t="str" cm="1">
        <f t="array" ref="H28">calculateSandwichItems($C28, H$16, $C$17)</f>
        <v/>
      </c>
      <c r="I28" s="54" t="str" cm="1">
        <f t="array" ref="I28">calculateSandwichItems($C28, I$16, $C$17)</f>
        <v/>
      </c>
      <c r="J28" s="54" t="str" cm="1">
        <f t="array" ref="J28">calculateSandwichItems($C28, J$16, $C$17)</f>
        <v/>
      </c>
      <c r="K28" s="54" t="str" cm="1">
        <f t="array" ref="K28">calculateSandwichItems($C28, K$16, $C$17)</f>
        <v/>
      </c>
      <c r="L28" s="54" t="str" cm="1">
        <f t="array" ref="L28">calculateSandwichItems($C28, L$16, $C$17)</f>
        <v/>
      </c>
      <c r="M28" s="54" t="str" cm="1">
        <f t="array" ref="M28">calculateSandwichItems($C28, M$16, $C$17)</f>
        <v/>
      </c>
      <c r="N28" s="54" t="str" cm="1">
        <f t="array" ref="N28">calculateSandwichItems($C28, N$16, $C$17)</f>
        <v/>
      </c>
      <c r="O28" s="334" t="str" cm="1">
        <f t="array" ref="O28">calculateSandwichItems($C28, O$16, $C$17)</f>
        <v/>
      </c>
      <c r="P28" s="361"/>
      <c r="Q28" s="369" t="s">
        <v>149</v>
      </c>
      <c r="R28" s="55">
        <f ca="1">$M$7+$M$13+$O$31+$O$39+$M$62+$M$79+$M$86</f>
        <v>2330.8000000000002</v>
      </c>
      <c r="S28" s="175">
        <f ca="1">$AG$11+$AG$20+$AG$27+$AG$34+$AG$41</f>
        <v>734</v>
      </c>
      <c r="T28" s="177">
        <f t="shared" ca="1" si="3"/>
        <v>3064.8</v>
      </c>
      <c r="U28"/>
      <c r="V28" s="57"/>
      <c r="W28" s="49"/>
      <c r="X28" s="49"/>
      <c r="Y28" s="49"/>
      <c r="Z28" s="49"/>
      <c r="AA28" s="49"/>
      <c r="AB28" s="49"/>
      <c r="AC28" s="49"/>
      <c r="AD28" s="49"/>
      <c r="AE28" s="49"/>
      <c r="AF28" s="49"/>
      <c r="AG28" s="49"/>
      <c r="AH28" s="49"/>
      <c r="AI28" s="360"/>
    </row>
    <row r="29" spans="3:35" ht="29" thickBot="1" x14ac:dyDescent="0.35">
      <c r="C29" s="333"/>
      <c r="D29" s="188" t="str" cm="1">
        <f t="array" ref="D29">calculateServingCountSandwich($C29)</f>
        <v/>
      </c>
      <c r="E29" s="188" t="str" cm="1">
        <f t="array" ref="E29">calculateServingUnitsSandwich($C29)</f>
        <v/>
      </c>
      <c r="F29" s="54" t="str" cm="1">
        <f t="array" ref="F29">calculateSandwichItems($C29, F$16, $C$17)</f>
        <v/>
      </c>
      <c r="G29" s="54" t="str" cm="1">
        <f t="array" ref="G29">calculateSandwichItems($C29, G$16, $C$17)</f>
        <v/>
      </c>
      <c r="H29" s="54" t="str" cm="1">
        <f t="array" ref="H29">calculateSandwichItems($C29, H$16, $C$17)</f>
        <v/>
      </c>
      <c r="I29" s="54" t="str" cm="1">
        <f t="array" ref="I29">calculateSandwichItems($C29, I$16, $C$17)</f>
        <v/>
      </c>
      <c r="J29" s="54" t="str" cm="1">
        <f t="array" ref="J29">calculateSandwichItems($C29, J$16, $C$17)</f>
        <v/>
      </c>
      <c r="K29" s="54" t="str" cm="1">
        <f t="array" ref="K29">calculateSandwichItems($C29, K$16, $C$17)</f>
        <v/>
      </c>
      <c r="L29" s="54" t="str" cm="1">
        <f t="array" ref="L29">calculateSandwichItems($C29, L$16, $C$17)</f>
        <v/>
      </c>
      <c r="M29" s="54" t="str" cm="1">
        <f t="array" ref="M29">calculateSandwichItems($C29, M$16, $C$17)</f>
        <v/>
      </c>
      <c r="N29" s="54" t="str" cm="1">
        <f t="array" ref="N29">calculateSandwichItems($C29, N$16, $C$17)</f>
        <v/>
      </c>
      <c r="O29" s="334" t="str" cm="1">
        <f t="array" ref="O29">calculateSandwichItems($C29, O$16, $C$17)</f>
        <v/>
      </c>
      <c r="P29" s="364"/>
      <c r="Q29" s="360"/>
      <c r="R29"/>
      <c r="S29"/>
      <c r="T29"/>
      <c r="U29"/>
      <c r="V29" s="57"/>
      <c r="W29" s="50"/>
      <c r="X29" s="185">
        <v>2</v>
      </c>
      <c r="Y29" s="186">
        <v>3</v>
      </c>
      <c r="Z29" s="186">
        <v>4</v>
      </c>
      <c r="AA29" s="186">
        <v>5</v>
      </c>
      <c r="AB29" s="186">
        <v>6</v>
      </c>
      <c r="AC29" s="186">
        <v>7</v>
      </c>
      <c r="AD29" s="186">
        <v>8</v>
      </c>
      <c r="AE29" s="186">
        <v>9</v>
      </c>
      <c r="AF29" s="191">
        <v>10</v>
      </c>
      <c r="AG29" s="191">
        <v>11</v>
      </c>
      <c r="AH29" s="49"/>
      <c r="AI29" s="360"/>
    </row>
    <row r="30" spans="3:35" ht="29" thickBot="1" x14ac:dyDescent="0.35">
      <c r="C30" s="350"/>
      <c r="D30" s="188" t="str" cm="1">
        <f t="array" ref="D30">calculateServingCountSandwich($C30)</f>
        <v/>
      </c>
      <c r="E30" s="188" t="str" cm="1">
        <f t="array" ref="E30">calculateServingUnitsSandwich($C30)</f>
        <v/>
      </c>
      <c r="F30" s="235" t="str" cm="1">
        <f t="array" ref="F30">calculateSandwichItems($C30, F$16, $C$17)</f>
        <v/>
      </c>
      <c r="G30" s="235" t="str" cm="1">
        <f t="array" ref="G30">calculateSandwichItems($C30, G$16, $C$17)</f>
        <v/>
      </c>
      <c r="H30" s="235" t="str" cm="1">
        <f t="array" ref="H30">calculateSandwichItems($C30, H$16, $C$17)</f>
        <v/>
      </c>
      <c r="I30" s="235" t="str" cm="1">
        <f t="array" ref="I30">calculateSandwichItems($C30, I$16, $C$17)</f>
        <v/>
      </c>
      <c r="J30" s="235" t="str" cm="1">
        <f t="array" ref="J30">calculateSandwichItems($C30, J$16, $C$17)</f>
        <v/>
      </c>
      <c r="K30" s="235" t="str" cm="1">
        <f t="array" ref="K30">calculateSandwichItems($C30, K$16, $C$17)</f>
        <v/>
      </c>
      <c r="L30" s="235" t="str" cm="1">
        <f t="array" ref="L30">calculateSandwichItems($C30, L$16, $C$17)</f>
        <v/>
      </c>
      <c r="M30" s="235" t="str" cm="1">
        <f t="array" ref="M30">calculateSandwichItems($C30, M$16, $C$17)</f>
        <v/>
      </c>
      <c r="N30" s="235" t="str" cm="1">
        <f t="array" ref="N30">calculateSandwichItems($C30, N$16, $C$17)</f>
        <v/>
      </c>
      <c r="O30" s="351" t="str" cm="1">
        <f t="array" ref="O30">calculateSandwichItems($C30, O$16, $C$17)</f>
        <v/>
      </c>
      <c r="P30" s="364"/>
      <c r="Q30" s="360"/>
      <c r="R30"/>
      <c r="S30"/>
      <c r="T30"/>
      <c r="U30"/>
      <c r="V30" s="383" t="s">
        <v>203</v>
      </c>
      <c r="W30" s="387" t="s">
        <v>227</v>
      </c>
      <c r="X30" s="323" t="s">
        <v>140</v>
      </c>
      <c r="Y30" s="323" t="s">
        <v>141</v>
      </c>
      <c r="Z30" s="323" t="s">
        <v>142</v>
      </c>
      <c r="AA30" s="323" t="s">
        <v>143</v>
      </c>
      <c r="AB30" s="323" t="s">
        <v>144</v>
      </c>
      <c r="AC30" s="323" t="s">
        <v>145</v>
      </c>
      <c r="AD30" s="323" t="s">
        <v>146</v>
      </c>
      <c r="AE30" s="388" t="s">
        <v>147</v>
      </c>
      <c r="AF30" s="323" t="s">
        <v>148</v>
      </c>
      <c r="AG30" s="324" t="s">
        <v>149</v>
      </c>
      <c r="AH30" s="361"/>
      <c r="AI30" s="360"/>
    </row>
    <row r="31" spans="3:35" ht="29" thickBot="1" x14ac:dyDescent="0.35">
      <c r="C31" s="352"/>
      <c r="D31" s="353">
        <f t="shared" ref="D31:E31" ca="1" si="7">SUM(D18:D30)</f>
        <v>0</v>
      </c>
      <c r="E31" s="353">
        <f t="shared" ca="1" si="7"/>
        <v>0</v>
      </c>
      <c r="F31" s="353">
        <f t="shared" ref="F31:N31" ca="1" si="8">SUM(F18:F30)</f>
        <v>110</v>
      </c>
      <c r="G31" s="353">
        <f t="shared" ca="1" si="8"/>
        <v>160.20000000000002</v>
      </c>
      <c r="H31" s="353">
        <f t="shared" ca="1" si="8"/>
        <v>38.199999999999996</v>
      </c>
      <c r="I31" s="353">
        <f t="shared" ca="1" si="8"/>
        <v>1</v>
      </c>
      <c r="J31" s="353">
        <f t="shared" ca="1" si="8"/>
        <v>0</v>
      </c>
      <c r="K31" s="353">
        <f t="shared" ca="1" si="8"/>
        <v>0</v>
      </c>
      <c r="L31" s="353">
        <f t="shared" ca="1" si="8"/>
        <v>9.4</v>
      </c>
      <c r="M31" s="353">
        <f t="shared" ca="1" si="8"/>
        <v>8.1999999999999993</v>
      </c>
      <c r="N31" s="353">
        <f t="shared" ca="1" si="8"/>
        <v>1.4000000000000001</v>
      </c>
      <c r="O31" s="354">
        <f t="shared" ref="O31" ca="1" si="9">SUM(O18:O30)</f>
        <v>8.2000000000000011</v>
      </c>
      <c r="P31" s="364"/>
      <c r="Q31" s="360"/>
      <c r="R31"/>
      <c r="S31"/>
      <c r="T31"/>
      <c r="U31"/>
      <c r="V31" s="393" t="s">
        <v>299</v>
      </c>
      <c r="W31" s="293" t="str" cm="1">
        <f t="array" ref="W31">calculateServingCountSide($V31)</f>
        <v/>
      </c>
      <c r="X31" s="293" t="str" cm="1">
        <f t="array" aca="1" ref="X31" ca="1">calculateSide($V31, X$29, $V$30)</f>
        <v/>
      </c>
      <c r="Y31" s="293" t="str" cm="1">
        <f t="array" aca="1" ref="Y31" ca="1">calculateSide($V31, Y$29, $V$30)</f>
        <v/>
      </c>
      <c r="Z31" s="293" t="str" cm="1">
        <f t="array" aca="1" ref="Z31" ca="1">calculateSide($V31, Z$29, $V$30)</f>
        <v/>
      </c>
      <c r="AA31" s="293" t="str" cm="1">
        <f t="array" aca="1" ref="AA31" ca="1">calculateSide($V31, AA$29, $V$30)</f>
        <v/>
      </c>
      <c r="AB31" s="293" t="str" cm="1">
        <f t="array" aca="1" ref="AB31" ca="1">calculateSide($V31, AB$29, $V$30)</f>
        <v/>
      </c>
      <c r="AC31" s="293" t="str" cm="1">
        <f t="array" aca="1" ref="AC31" ca="1">calculateSide($V31, AC$29, $V$30)</f>
        <v/>
      </c>
      <c r="AD31" s="293" t="str" cm="1">
        <f t="array" aca="1" ref="AD31" ca="1">calculateSide($V31, AD$29, $V$30)</f>
        <v/>
      </c>
      <c r="AE31" s="293" t="str" cm="1">
        <f t="array" aca="1" ref="AE31" ca="1">calculateSide($V31, AE$29, $V$30)</f>
        <v/>
      </c>
      <c r="AF31" s="293" t="str" cm="1">
        <f t="array" aca="1" ref="AF31" ca="1">calculateSide($V31, AF$29, $V$30)</f>
        <v/>
      </c>
      <c r="AG31" s="378" t="str" cm="1">
        <f t="array" aca="1" ref="AG31" ca="1">calculateSide($V31, AG$29, $V$30)</f>
        <v/>
      </c>
      <c r="AH31" s="361"/>
      <c r="AI31" s="360"/>
    </row>
    <row r="32" spans="3:35" x14ac:dyDescent="0.3">
      <c r="P32" s="360"/>
      <c r="R32"/>
      <c r="S32"/>
      <c r="T32"/>
      <c r="U32"/>
      <c r="V32" s="394"/>
      <c r="W32" s="293" t="str" cm="1">
        <f t="array" ref="W32">calculateServingCountSide($V32)</f>
        <v/>
      </c>
      <c r="X32" s="289" t="str" cm="1">
        <f t="array" aca="1" ref="X32" ca="1">calculateSide($V32, X$29, $V$30)</f>
        <v/>
      </c>
      <c r="Y32" s="293" t="str" cm="1">
        <f t="array" aca="1" ref="Y32" ca="1">calculateSide($V32, Y$29, $V$30)</f>
        <v/>
      </c>
      <c r="Z32" s="293" t="str" cm="1">
        <f t="array" aca="1" ref="Z32" ca="1">calculateSide($V32, Z$29, $V$30)</f>
        <v/>
      </c>
      <c r="AA32" s="293" t="str" cm="1">
        <f t="array" aca="1" ref="AA32" ca="1">calculateSide($V32, AA$29, $V$30)</f>
        <v/>
      </c>
      <c r="AB32" s="293" t="str" cm="1">
        <f t="array" aca="1" ref="AB32" ca="1">calculateSide($V32, AB$29, $V$30)</f>
        <v/>
      </c>
      <c r="AC32" s="293" t="str" cm="1">
        <f t="array" aca="1" ref="AC32" ca="1">calculateSide($V32, AC$29, $V$30)</f>
        <v/>
      </c>
      <c r="AD32" s="293" t="str" cm="1">
        <f t="array" aca="1" ref="AD32" ca="1">calculateSide($V32, AD$29, $V$30)</f>
        <v/>
      </c>
      <c r="AE32" s="293" t="str" cm="1">
        <f t="array" aca="1" ref="AE32" ca="1">calculateSide($V32, AE$29, $V$30)</f>
        <v/>
      </c>
      <c r="AF32" s="293" t="str" cm="1">
        <f t="array" aca="1" ref="AF32" ca="1">calculateSide($V32, AF$29, $V$30)</f>
        <v/>
      </c>
      <c r="AG32" s="293" t="str" cm="1">
        <f t="array" aca="1" ref="AG32" ca="1">calculateSide($V32, AG$29, $V$30)</f>
        <v/>
      </c>
      <c r="AH32" s="361"/>
      <c r="AI32" s="360"/>
    </row>
    <row r="33" spans="3:35" ht="29" thickBot="1" x14ac:dyDescent="0.35">
      <c r="R33"/>
      <c r="S33"/>
      <c r="T33"/>
      <c r="U33"/>
      <c r="V33" s="395"/>
      <c r="W33" s="293" t="str" cm="1">
        <f t="array" ref="W33">calculateServingCountSide($V33)</f>
        <v/>
      </c>
      <c r="X33" s="295" t="str" cm="1">
        <f t="array" aca="1" ref="X33" ca="1">calculateSide($V33, X$29, $V$30)</f>
        <v/>
      </c>
      <c r="Y33" s="293" t="str" cm="1">
        <f t="array" aca="1" ref="Y33" ca="1">calculateSide($V33, Y$29, $V$30)</f>
        <v/>
      </c>
      <c r="Z33" s="293" t="str" cm="1">
        <f t="array" aca="1" ref="Z33" ca="1">calculateSide($V33, Z$29, $V$30)</f>
        <v/>
      </c>
      <c r="AA33" s="293" t="str" cm="1">
        <f t="array" aca="1" ref="AA33" ca="1">calculateSide($V33, AA$29, $V$30)</f>
        <v/>
      </c>
      <c r="AB33" s="293" t="str" cm="1">
        <f t="array" aca="1" ref="AB33" ca="1">calculateSide($V33, AB$29, $V$30)</f>
        <v/>
      </c>
      <c r="AC33" s="293" t="str" cm="1">
        <f t="array" aca="1" ref="AC33" ca="1">calculateSide($V33, AC$29, $V$30)</f>
        <v/>
      </c>
      <c r="AD33" s="293" t="str" cm="1">
        <f t="array" aca="1" ref="AD33" ca="1">calculateSide($V33, AD$29, $V$30)</f>
        <v/>
      </c>
      <c r="AE33" s="293" t="str" cm="1">
        <f t="array" aca="1" ref="AE33" ca="1">calculateSide($V33, AE$29, $V$30)</f>
        <v/>
      </c>
      <c r="AF33" s="293" t="str" cm="1">
        <f t="array" aca="1" ref="AF33" ca="1">calculateSide($V33, AF$29, $V$30)</f>
        <v/>
      </c>
      <c r="AG33" s="293" t="str" cm="1">
        <f t="array" aca="1" ref="AG33" ca="1">calculateSide($V33, AG$29, $V$30)</f>
        <v/>
      </c>
      <c r="AH33" s="361"/>
      <c r="AI33" s="360"/>
    </row>
    <row r="34" spans="3:35" ht="29" thickBot="1" x14ac:dyDescent="0.35">
      <c r="D34" s="185">
        <v>2</v>
      </c>
      <c r="E34" s="186">
        <v>3</v>
      </c>
      <c r="F34" s="186">
        <v>4</v>
      </c>
      <c r="G34" s="186">
        <v>5</v>
      </c>
      <c r="H34" s="186">
        <v>6</v>
      </c>
      <c r="I34" s="186">
        <v>7</v>
      </c>
      <c r="J34" s="186">
        <v>8</v>
      </c>
      <c r="K34" s="186">
        <v>9</v>
      </c>
      <c r="L34" s="186">
        <v>10</v>
      </c>
      <c r="M34" s="186">
        <v>11</v>
      </c>
      <c r="N34" s="186">
        <v>12</v>
      </c>
      <c r="O34" s="187">
        <v>13</v>
      </c>
      <c r="P34" s="365"/>
      <c r="R34"/>
      <c r="S34"/>
      <c r="T34"/>
      <c r="U34"/>
      <c r="V34" s="383" t="s">
        <v>254</v>
      </c>
      <c r="W34" s="384">
        <f>SUM(W31:W33)</f>
        <v>0</v>
      </c>
      <c r="X34" s="384">
        <f t="shared" ref="X34:AG34" ca="1" si="10">SUM(X31:X33)</f>
        <v>0</v>
      </c>
      <c r="Y34" s="384">
        <f t="shared" ca="1" si="10"/>
        <v>0</v>
      </c>
      <c r="Z34" s="384">
        <f t="shared" ca="1" si="10"/>
        <v>0</v>
      </c>
      <c r="AA34" s="384">
        <f t="shared" ca="1" si="10"/>
        <v>0</v>
      </c>
      <c r="AB34" s="384">
        <f t="shared" ca="1" si="10"/>
        <v>0</v>
      </c>
      <c r="AC34" s="384">
        <f t="shared" ca="1" si="10"/>
        <v>0</v>
      </c>
      <c r="AD34" s="384">
        <f t="shared" ca="1" si="10"/>
        <v>0</v>
      </c>
      <c r="AE34" s="384">
        <f t="shared" ca="1" si="10"/>
        <v>0</v>
      </c>
      <c r="AF34" s="384">
        <f t="shared" ca="1" si="10"/>
        <v>0</v>
      </c>
      <c r="AG34" s="385">
        <f t="shared" ca="1" si="10"/>
        <v>0</v>
      </c>
      <c r="AH34" s="380"/>
      <c r="AI34" s="379"/>
    </row>
    <row r="35" spans="3:35" ht="29" thickBot="1" x14ac:dyDescent="0.35">
      <c r="C35" s="322" t="s">
        <v>237</v>
      </c>
      <c r="D35" s="323" t="s">
        <v>227</v>
      </c>
      <c r="E35" s="323" t="s">
        <v>228</v>
      </c>
      <c r="F35" s="323" t="s">
        <v>140</v>
      </c>
      <c r="G35" s="323" t="s">
        <v>141</v>
      </c>
      <c r="H35" s="323" t="s">
        <v>142</v>
      </c>
      <c r="I35" s="323" t="s">
        <v>143</v>
      </c>
      <c r="J35" s="323" t="s">
        <v>144</v>
      </c>
      <c r="K35" s="323" t="s">
        <v>145</v>
      </c>
      <c r="L35" s="323" t="s">
        <v>146</v>
      </c>
      <c r="M35" s="323" t="s">
        <v>147</v>
      </c>
      <c r="N35" s="323" t="s">
        <v>148</v>
      </c>
      <c r="O35" s="324" t="s">
        <v>149</v>
      </c>
      <c r="P35" s="364"/>
      <c r="Q35" s="360"/>
      <c r="R35"/>
      <c r="S35"/>
      <c r="T35"/>
      <c r="U35"/>
      <c r="V35" s="57"/>
      <c r="AH35" s="360"/>
      <c r="AI35" s="360"/>
    </row>
    <row r="36" spans="3:35" ht="29" thickBot="1" x14ac:dyDescent="0.35">
      <c r="C36" s="355" t="s">
        <v>239</v>
      </c>
      <c r="D36" s="189" t="str" cm="1">
        <f t="array" aca="1" ref="D36" ca="1">calculateServingCountSandwich($C36)</f>
        <v>Default</v>
      </c>
      <c r="E36" s="189" t="str" cm="1">
        <f t="array" aca="1" ref="E36" ca="1">calculateServingUnitsSandwich($C36)</f>
        <v>Slices</v>
      </c>
      <c r="F36" s="190" cm="1">
        <f t="array" aca="1" ref="F36" ca="1">calculateSandwichItems($C36, F$34, $C$35)</f>
        <v>22.6</v>
      </c>
      <c r="G36" s="190" cm="1">
        <f t="array" aca="1" ref="G36" ca="1">calculateSandwichItems($C36, G$34, $C$35)</f>
        <v>318</v>
      </c>
      <c r="H36" s="190" cm="1">
        <f t="array" aca="1" ref="H36" ca="1">calculateSandwichItems($C36, H$34, $C$35)</f>
        <v>76.2</v>
      </c>
      <c r="I36" s="190" cm="1">
        <f t="array" aca="1" ref="I36" ca="1">calculateSandwichItems($C36, I$34, $C$35)</f>
        <v>4.5999999999999996</v>
      </c>
      <c r="J36" s="190" cm="1">
        <f t="array" aca="1" ref="J36" ca="1">calculateSandwichItems($C36, J$34, $C$35)</f>
        <v>6</v>
      </c>
      <c r="K36" s="190" cm="1">
        <f t="array" aca="1" ref="K36" ca="1">calculateSandwichItems($C36, K$34, $C$35)</f>
        <v>4.2</v>
      </c>
      <c r="L36" s="190" cm="1">
        <f t="array" aca="1" ref="L36" ca="1">calculateSandwichItems($C36, L$34, $C$35)</f>
        <v>1.2</v>
      </c>
      <c r="M36" s="190" cm="1">
        <f t="array" aca="1" ref="M36" ca="1">calculateSandwichItems($C36, M$34, $C$35)</f>
        <v>0.6</v>
      </c>
      <c r="N36" s="190" cm="1">
        <f t="array" aca="1" ref="N36" ca="1">calculateSandwichItems($C36, N$34, $C$35)</f>
        <v>0</v>
      </c>
      <c r="O36" s="190" cm="1">
        <f t="array" aca="1" ref="O36" ca="1">calculateSandwichItems($C36, O$34, $C$35)</f>
        <v>430</v>
      </c>
      <c r="P36" s="364"/>
      <c r="Q36" s="360"/>
      <c r="R36"/>
      <c r="S36"/>
      <c r="T36"/>
      <c r="U36"/>
      <c r="V36" s="57"/>
      <c r="W36" s="50"/>
      <c r="X36" s="185">
        <v>2</v>
      </c>
      <c r="Y36" s="186">
        <v>3</v>
      </c>
      <c r="Z36" s="186">
        <v>4</v>
      </c>
      <c r="AA36" s="186">
        <v>5</v>
      </c>
      <c r="AB36" s="186">
        <v>6</v>
      </c>
      <c r="AC36" s="186">
        <v>7</v>
      </c>
      <c r="AD36" s="186">
        <v>8</v>
      </c>
      <c r="AE36" s="186">
        <v>9</v>
      </c>
      <c r="AF36" s="186">
        <v>10</v>
      </c>
      <c r="AG36" s="187">
        <v>11</v>
      </c>
      <c r="AI36" s="360"/>
    </row>
    <row r="37" spans="3:35" ht="29" thickBot="1" x14ac:dyDescent="0.35">
      <c r="C37" s="356"/>
      <c r="D37" s="189" t="str" cm="1">
        <f t="array" ref="D37">calculateServingCountSandwich($C37)</f>
        <v/>
      </c>
      <c r="E37" s="189" t="str" cm="1">
        <f t="array" ref="E37">calculateServingUnitsSandwich($C37)</f>
        <v/>
      </c>
      <c r="F37" s="52" t="str" cm="1">
        <f t="array" ref="F37">calculateSandwichItems($C37, F$34, $C$35)</f>
        <v/>
      </c>
      <c r="G37" s="52" t="str" cm="1">
        <f t="array" ref="G37">calculateSandwichItems($C37, G$34, $C$35)</f>
        <v/>
      </c>
      <c r="H37" s="52" t="str" cm="1">
        <f t="array" ref="H37">calculateSandwichItems($C37, H$34, $C$35)</f>
        <v/>
      </c>
      <c r="I37" s="52" t="str" cm="1">
        <f t="array" ref="I37">calculateSandwichItems($C37, I$34, $C$35)</f>
        <v/>
      </c>
      <c r="J37" s="52" t="str" cm="1">
        <f t="array" ref="J37">calculateSandwichItems($C37, J$34, $C$35)</f>
        <v/>
      </c>
      <c r="K37" s="52" t="str" cm="1">
        <f t="array" ref="K37">calculateSandwichItems($C37, K$34, $C$35)</f>
        <v/>
      </c>
      <c r="L37" s="52" t="str" cm="1">
        <f t="array" ref="L37">calculateSandwichItems($C37, L$34, $C$35)</f>
        <v/>
      </c>
      <c r="M37" s="52" t="str" cm="1">
        <f t="array" ref="M37">calculateSandwichItems($C37, M$34, $C$35)</f>
        <v/>
      </c>
      <c r="N37" s="52" t="str" cm="1">
        <f t="array" ref="N37">calculateSandwichItems($C37, N$34, $C$35)</f>
        <v/>
      </c>
      <c r="O37" s="357" t="str" cm="1">
        <f t="array" ref="O37">calculateSandwichItems($C37, O$34, $C$35)</f>
        <v/>
      </c>
      <c r="P37" s="364"/>
      <c r="Q37" s="360"/>
      <c r="R37"/>
      <c r="S37"/>
      <c r="T37"/>
      <c r="U37"/>
      <c r="V37" s="337" t="s">
        <v>310</v>
      </c>
      <c r="W37" s="386" t="s">
        <v>227</v>
      </c>
      <c r="X37" s="341" t="s">
        <v>140</v>
      </c>
      <c r="Y37" s="341" t="s">
        <v>141</v>
      </c>
      <c r="Z37" s="341" t="s">
        <v>142</v>
      </c>
      <c r="AA37" s="341" t="s">
        <v>143</v>
      </c>
      <c r="AB37" s="341" t="s">
        <v>144</v>
      </c>
      <c r="AC37" s="341" t="s">
        <v>145</v>
      </c>
      <c r="AD37" s="341" t="s">
        <v>146</v>
      </c>
      <c r="AE37" s="341" t="s">
        <v>147</v>
      </c>
      <c r="AF37" s="341" t="s">
        <v>148</v>
      </c>
      <c r="AG37" s="342" t="s">
        <v>149</v>
      </c>
      <c r="AH37" s="361"/>
      <c r="AI37" s="360"/>
    </row>
    <row r="38" spans="3:35" ht="29" thickBot="1" x14ac:dyDescent="0.35">
      <c r="C38" s="358"/>
      <c r="D38" s="189" t="str" cm="1">
        <f t="array" ref="D38">calculateServingCountSandwich($C38)</f>
        <v/>
      </c>
      <c r="E38" s="189" t="str" cm="1">
        <f t="array" ref="E38">calculateServingUnitsSandwich($C38)</f>
        <v/>
      </c>
      <c r="F38" s="238" t="str" cm="1">
        <f t="array" ref="F38">calculateSandwichItems($C38, F$34, $C$35)</f>
        <v/>
      </c>
      <c r="G38" s="238" t="str" cm="1">
        <f t="array" ref="G38">calculateSandwichItems($C38, G$34, $C$35)</f>
        <v/>
      </c>
      <c r="H38" s="238" t="str" cm="1">
        <f t="array" ref="H38">calculateSandwichItems($C38, H$34, $C$35)</f>
        <v/>
      </c>
      <c r="I38" s="238" t="str" cm="1">
        <f t="array" ref="I38">calculateSandwichItems($C38, I$34, $C$35)</f>
        <v/>
      </c>
      <c r="J38" s="238" t="str" cm="1">
        <f t="array" ref="J38">calculateSandwichItems($C38, J$34, $C$35)</f>
        <v/>
      </c>
      <c r="K38" s="238" t="str" cm="1">
        <f t="array" ref="K38">calculateSandwichItems($C38, K$34, $C$35)</f>
        <v/>
      </c>
      <c r="L38" s="238" t="str" cm="1">
        <f t="array" ref="L38">calculateSandwichItems($C38, L$34, $C$35)</f>
        <v/>
      </c>
      <c r="M38" s="238" t="str" cm="1">
        <f t="array" ref="M38">calculateSandwichItems($C38, M$34, $C$35)</f>
        <v/>
      </c>
      <c r="N38" s="238" t="str" cm="1">
        <f t="array" ref="N38">calculateSandwichItems($C38, N$34, $C$35)</f>
        <v/>
      </c>
      <c r="O38" s="359" t="str" cm="1">
        <f t="array" ref="O38">calculateSandwichItems($C38, O$34, $C$35)</f>
        <v/>
      </c>
      <c r="P38" s="364"/>
      <c r="Q38" s="360"/>
      <c r="R38"/>
      <c r="S38"/>
      <c r="T38"/>
      <c r="U38"/>
      <c r="V38" s="399" t="s">
        <v>365</v>
      </c>
      <c r="W38" s="292" cm="1">
        <f t="array" aca="1" ref="W38" ca="1">calculateServingCountSide($V38)</f>
        <v>1</v>
      </c>
      <c r="X38" s="292" cm="1">
        <f t="array" aca="1" ref="X38" ca="1">calculateSide($V38, X$36, $V$37)</f>
        <v>120</v>
      </c>
      <c r="Y38" s="292" cm="1">
        <f t="array" aca="1" ref="Y38" ca="1">calculateSide($V38, Y$36, $V$37)</f>
        <v>370</v>
      </c>
      <c r="Z38" s="292" cm="1">
        <f t="array" aca="1" ref="Z38" ca="1">calculateSide($V38, Z$36, $V$37)</f>
        <v>88.4</v>
      </c>
      <c r="AA38" s="292" cm="1">
        <f t="array" aca="1" ref="AA38" ca="1">calculateSide($V38, AA$36, $V$37)</f>
        <v>0.4</v>
      </c>
      <c r="AB38" s="292" cm="1">
        <f t="array" aca="1" ref="AB38" ca="1">calculateSide($V38, AB$36, $V$37)</f>
        <v>0.2</v>
      </c>
      <c r="AC38" s="292" cm="1">
        <f t="array" aca="1" ref="AC38" ca="1">calculateSide($V38, AC$36, $V$37)</f>
        <v>0</v>
      </c>
      <c r="AD38" s="292" cm="1">
        <f t="array" aca="1" ref="AD38" ca="1">calculateSide($V38, AD$36, $V$37)</f>
        <v>20.3</v>
      </c>
      <c r="AE38" s="292" cm="1">
        <f t="array" aca="1" ref="AE38" ca="1">calculateSide($V38, AE$36, $V$37)</f>
        <v>18.399999999999999</v>
      </c>
      <c r="AF38" s="292" cm="1">
        <f t="array" aca="1" ref="AF38" ca="1">calculateSide($V38, AF$36, $V$37)</f>
        <v>1.1000000000000001</v>
      </c>
      <c r="AG38" s="376" cm="1">
        <f t="array" aca="1" ref="AG38" ca="1">calculateSide($V38, AG$36, $V$37)</f>
        <v>20</v>
      </c>
      <c r="AH38" s="361"/>
      <c r="AI38" s="360"/>
    </row>
    <row r="39" spans="3:35" ht="29" thickBot="1" x14ac:dyDescent="0.35">
      <c r="C39" s="225" t="s">
        <v>254</v>
      </c>
      <c r="D39" s="236">
        <f t="shared" ref="D39:H39" ca="1" si="11">SUM(D36:D38)</f>
        <v>0</v>
      </c>
      <c r="E39" s="236">
        <f t="shared" ca="1" si="11"/>
        <v>0</v>
      </c>
      <c r="F39" s="236">
        <f t="shared" ca="1" si="11"/>
        <v>22.6</v>
      </c>
      <c r="G39" s="236">
        <f t="shared" ca="1" si="11"/>
        <v>318</v>
      </c>
      <c r="H39" s="236">
        <f t="shared" ca="1" si="11"/>
        <v>76.2</v>
      </c>
      <c r="I39" s="236">
        <f t="shared" ref="I39:N39" ca="1" si="12">SUM(I36:I38)</f>
        <v>4.5999999999999996</v>
      </c>
      <c r="J39" s="236">
        <f t="shared" ca="1" si="12"/>
        <v>6</v>
      </c>
      <c r="K39" s="236">
        <f t="shared" ca="1" si="12"/>
        <v>4.2</v>
      </c>
      <c r="L39" s="236">
        <f t="shared" ca="1" si="12"/>
        <v>1.2</v>
      </c>
      <c r="M39" s="236">
        <f t="shared" ca="1" si="12"/>
        <v>0.6</v>
      </c>
      <c r="N39" s="236">
        <f t="shared" ca="1" si="12"/>
        <v>0</v>
      </c>
      <c r="O39" s="237">
        <f t="shared" ref="O39" ca="1" si="13">SUM(O36:O38)</f>
        <v>430</v>
      </c>
      <c r="P39" s="364"/>
      <c r="Q39" s="360"/>
      <c r="R39"/>
      <c r="S39"/>
      <c r="T39"/>
      <c r="U39"/>
      <c r="V39" s="400"/>
      <c r="W39" s="292" t="str" cm="1">
        <f t="array" ref="W39">calculateServingCountSide($V39)</f>
        <v/>
      </c>
      <c r="X39" s="288" t="str" cm="1">
        <f t="array" aca="1" ref="X39" ca="1">calculateSide($V39, X$36, $V$37)</f>
        <v/>
      </c>
      <c r="Y39" s="292" t="str" cm="1">
        <f t="array" aca="1" ref="Y39" ca="1">calculateSide($V39, Y$36, $V$37)</f>
        <v/>
      </c>
      <c r="Z39" s="292" t="str" cm="1">
        <f t="array" aca="1" ref="Z39" ca="1">calculateSide($V39, Z$36, $V$37)</f>
        <v/>
      </c>
      <c r="AA39" s="292" t="str" cm="1">
        <f t="array" aca="1" ref="AA39" ca="1">calculateSide($V39, AA$36, $V$37)</f>
        <v/>
      </c>
      <c r="AB39" s="292" t="str" cm="1">
        <f t="array" aca="1" ref="AB39" ca="1">calculateSide($V39, AB$36, $V$37)</f>
        <v/>
      </c>
      <c r="AC39" s="292" t="str" cm="1">
        <f t="array" aca="1" ref="AC39" ca="1">calculateSide($V39, AC$36, $V$37)</f>
        <v/>
      </c>
      <c r="AD39" s="292" t="str" cm="1">
        <f t="array" aca="1" ref="AD39" ca="1">calculateSide($V39, AD$36, $V$37)</f>
        <v/>
      </c>
      <c r="AE39" s="292" t="str" cm="1">
        <f t="array" aca="1" ref="AE39" ca="1">calculateSide($V39, AE$36, $V$37)</f>
        <v/>
      </c>
      <c r="AF39" s="292" t="str" cm="1">
        <f t="array" aca="1" ref="AF39" ca="1">calculateSide($V39, AF$36, $V$37)</f>
        <v/>
      </c>
      <c r="AG39" s="292" t="str" cm="1">
        <f t="array" aca="1" ref="AG39" ca="1">calculateSide($V39, AG$36, $V$37)</f>
        <v/>
      </c>
      <c r="AH39" s="361"/>
      <c r="AI39" s="360"/>
    </row>
    <row r="40" spans="3:35" ht="29" thickBot="1" x14ac:dyDescent="0.35">
      <c r="E40" s="53"/>
      <c r="P40" s="360"/>
      <c r="Q40" s="360"/>
      <c r="R40"/>
      <c r="S40"/>
      <c r="T40"/>
      <c r="U40"/>
      <c r="V40" s="401"/>
      <c r="W40" s="292" t="str" cm="1">
        <f t="array" ref="W40">calculateServingCountSide($V40)</f>
        <v/>
      </c>
      <c r="X40" s="291" t="str" cm="1">
        <f t="array" aca="1" ref="X40" ca="1">calculateSide($V40, X$36, $V$37)</f>
        <v/>
      </c>
      <c r="Y40" s="292" t="str" cm="1">
        <f t="array" aca="1" ref="Y40" ca="1">calculateSide($V40, Y$36, $V$37)</f>
        <v/>
      </c>
      <c r="Z40" s="292" t="str" cm="1">
        <f t="array" aca="1" ref="Z40" ca="1">calculateSide($V40, Z$36, $V$37)</f>
        <v/>
      </c>
      <c r="AA40" s="292" t="str" cm="1">
        <f t="array" aca="1" ref="AA40" ca="1">calculateSide($V40, AA$36, $V$37)</f>
        <v/>
      </c>
      <c r="AB40" s="292" t="str" cm="1">
        <f t="array" aca="1" ref="AB40" ca="1">calculateSide($V40, AB$36, $V$37)</f>
        <v/>
      </c>
      <c r="AC40" s="292" t="str" cm="1">
        <f t="array" aca="1" ref="AC40" ca="1">calculateSide($V40, AC$36, $V$37)</f>
        <v/>
      </c>
      <c r="AD40" s="292" t="str" cm="1">
        <f t="array" aca="1" ref="AD40" ca="1">calculateSide($V40, AD$36, $V$37)</f>
        <v/>
      </c>
      <c r="AE40" s="292" t="str" cm="1">
        <f t="array" aca="1" ref="AE40" ca="1">calculateSide($V40, AE$36, $V$37)</f>
        <v/>
      </c>
      <c r="AF40" s="292" t="str" cm="1">
        <f t="array" aca="1" ref="AF40" ca="1">calculateSide($V40, AF$36, $V$37)</f>
        <v/>
      </c>
      <c r="AG40" s="292" t="str" cm="1">
        <f t="array" aca="1" ref="AG40" ca="1">calculateSide($V40, AG$36, $V$37)</f>
        <v/>
      </c>
      <c r="AH40" s="361"/>
      <c r="AI40" s="360"/>
    </row>
    <row r="41" spans="3:35" ht="29" thickBot="1" x14ac:dyDescent="0.35">
      <c r="C41" s="53"/>
      <c r="E41" s="53"/>
      <c r="F41" s="53"/>
      <c r="U41"/>
      <c r="V41" s="337" t="s">
        <v>254</v>
      </c>
      <c r="W41" s="338">
        <f ca="1">SUM(W38:W40)</f>
        <v>1</v>
      </c>
      <c r="X41" s="338">
        <f t="shared" ref="X41:AG41" ca="1" si="14">SUM(X38:X40)</f>
        <v>120</v>
      </c>
      <c r="Y41" s="338">
        <f t="shared" ca="1" si="14"/>
        <v>370</v>
      </c>
      <c r="Z41" s="338">
        <f t="shared" ca="1" si="14"/>
        <v>88.4</v>
      </c>
      <c r="AA41" s="338">
        <f t="shared" ca="1" si="14"/>
        <v>0.4</v>
      </c>
      <c r="AB41" s="338">
        <f t="shared" ca="1" si="14"/>
        <v>0.2</v>
      </c>
      <c r="AC41" s="338">
        <f t="shared" ca="1" si="14"/>
        <v>0</v>
      </c>
      <c r="AD41" s="338">
        <f t="shared" ca="1" si="14"/>
        <v>20.3</v>
      </c>
      <c r="AE41" s="338">
        <f t="shared" ca="1" si="14"/>
        <v>18.399999999999999</v>
      </c>
      <c r="AF41" s="338">
        <f t="shared" ca="1" si="14"/>
        <v>1.1000000000000001</v>
      </c>
      <c r="AG41" s="339">
        <f t="shared" ca="1" si="14"/>
        <v>20</v>
      </c>
      <c r="AH41" s="361"/>
      <c r="AI41" s="360"/>
    </row>
    <row r="42" spans="3:35" ht="29" thickBot="1" x14ac:dyDescent="0.35">
      <c r="D42" s="185">
        <v>2</v>
      </c>
      <c r="E42" s="186">
        <v>3</v>
      </c>
      <c r="F42" s="186">
        <v>4</v>
      </c>
      <c r="G42" s="186">
        <v>5</v>
      </c>
      <c r="H42" s="186">
        <v>6</v>
      </c>
      <c r="I42" s="186">
        <v>7</v>
      </c>
      <c r="J42" s="186">
        <v>8</v>
      </c>
      <c r="K42" s="186">
        <v>9</v>
      </c>
      <c r="L42" s="186">
        <v>10</v>
      </c>
      <c r="M42" s="187">
        <v>11</v>
      </c>
      <c r="U42"/>
      <c r="W42" s="49"/>
      <c r="X42" s="49"/>
      <c r="Y42" s="49"/>
      <c r="Z42" s="49"/>
      <c r="AA42" s="49"/>
      <c r="AB42" s="49"/>
      <c r="AC42" s="49"/>
      <c r="AD42" s="49"/>
      <c r="AE42" s="49"/>
      <c r="AF42" s="49"/>
      <c r="AG42" s="49"/>
      <c r="AI42" s="360"/>
    </row>
    <row r="43" spans="3:35" ht="29" thickBot="1" x14ac:dyDescent="0.35">
      <c r="C43" s="340" t="s">
        <v>240</v>
      </c>
      <c r="D43" s="341" t="s">
        <v>140</v>
      </c>
      <c r="E43" s="341" t="s">
        <v>141</v>
      </c>
      <c r="F43" s="341" t="s">
        <v>142</v>
      </c>
      <c r="G43" s="341" t="s">
        <v>143</v>
      </c>
      <c r="H43" s="341" t="s">
        <v>144</v>
      </c>
      <c r="I43" s="341" t="s">
        <v>145</v>
      </c>
      <c r="J43" s="341" t="s">
        <v>146</v>
      </c>
      <c r="K43" s="341" t="s">
        <v>147</v>
      </c>
      <c r="L43" s="341" t="s">
        <v>148</v>
      </c>
      <c r="M43" s="342" t="s">
        <v>149</v>
      </c>
      <c r="U43"/>
      <c r="W43" s="49"/>
      <c r="X43" s="49"/>
      <c r="Y43" s="49"/>
      <c r="Z43" s="49"/>
      <c r="AA43" s="49"/>
      <c r="AB43" s="49"/>
      <c r="AC43" s="49"/>
      <c r="AD43" s="49"/>
      <c r="AE43" s="49"/>
      <c r="AF43" s="49"/>
      <c r="AG43" s="49"/>
      <c r="AI43" s="360"/>
    </row>
    <row r="44" spans="3:35" x14ac:dyDescent="0.3">
      <c r="C44" s="331" t="s">
        <v>299</v>
      </c>
      <c r="D44" s="332" t="str" cm="1">
        <f t="array" ref="D44">calculateSandwichItems($C44, D$42, $C$43)</f>
        <v/>
      </c>
      <c r="E44" s="332" t="str" cm="1">
        <f t="array" ref="E44">calculateSandwichItems($C44, E$42, $C$43)</f>
        <v/>
      </c>
      <c r="F44" s="332" t="str" cm="1">
        <f t="array" ref="F44">calculateSandwichItems($C44, F$42, $C$43)</f>
        <v/>
      </c>
      <c r="G44" s="332" t="str" cm="1">
        <f t="array" ref="G44">calculateSandwichItems($C44, G$42, $C$43)</f>
        <v/>
      </c>
      <c r="H44" s="332" t="str" cm="1">
        <f t="array" ref="H44">calculateSandwichItems($C44, H$42, $C$43)</f>
        <v/>
      </c>
      <c r="I44" s="332" t="str" cm="1">
        <f t="array" ref="I44">calculateSandwichItems($C44, I$42, $C$43)</f>
        <v/>
      </c>
      <c r="J44" s="332" t="str" cm="1">
        <f t="array" ref="J44">calculateSandwichItems($C44, J$42, $C$43)</f>
        <v/>
      </c>
      <c r="K44" s="332" t="str" cm="1">
        <f t="array" ref="K44">calculateSandwichItems($C44, K$42, $C$43)</f>
        <v/>
      </c>
      <c r="L44" s="332" t="str" cm="1">
        <f t="array" ref="L44">calculateSandwichItems($C44, L$42, $C$43)</f>
        <v/>
      </c>
      <c r="M44" s="332" t="str" cm="1">
        <f t="array" ref="M44">calculateSandwichItems($C44, M$42, $C$43)</f>
        <v/>
      </c>
      <c r="N44" s="361"/>
      <c r="O44" s="360"/>
      <c r="U44"/>
      <c r="W44" s="49"/>
      <c r="X44" s="49"/>
      <c r="Y44" s="49"/>
      <c r="Z44" s="49"/>
      <c r="AA44" s="49"/>
      <c r="AB44" s="49"/>
      <c r="AC44" s="49"/>
      <c r="AD44" s="49"/>
      <c r="AE44" s="49"/>
      <c r="AF44" s="49"/>
      <c r="AG44" s="49"/>
    </row>
    <row r="45" spans="3:35" x14ac:dyDescent="0.3">
      <c r="C45" s="333"/>
      <c r="D45" s="54" t="str" cm="1">
        <f t="array" ref="D45">calculateSandwichItems($C45, D$42, $C$43)</f>
        <v/>
      </c>
      <c r="E45" s="54" t="str" cm="1">
        <f t="array" ref="E45">calculateSandwichItems($C45, E$42, $C$43)</f>
        <v/>
      </c>
      <c r="F45" s="54" t="str" cm="1">
        <f t="array" ref="F45">calculateSandwichItems($C45, F$42, $C$43)</f>
        <v/>
      </c>
      <c r="G45" s="54" t="str" cm="1">
        <f t="array" ref="G45">calculateSandwichItems($C45, G$42, $C$43)</f>
        <v/>
      </c>
      <c r="H45" s="54" t="str" cm="1">
        <f t="array" ref="H45">calculateSandwichItems($C45, H$42, $C$43)</f>
        <v/>
      </c>
      <c r="I45" s="54" t="str" cm="1">
        <f t="array" ref="I45">calculateSandwichItems($C45, I$42, $C$43)</f>
        <v/>
      </c>
      <c r="J45" s="54" t="str" cm="1">
        <f t="array" ref="J45">calculateSandwichItems($C45, J$42, $C$43)</f>
        <v/>
      </c>
      <c r="K45" s="54" t="str" cm="1">
        <f t="array" ref="K45">calculateSandwichItems($C45, K$42, $C$43)</f>
        <v/>
      </c>
      <c r="L45" s="54" t="str" cm="1">
        <f t="array" ref="L45">calculateSandwichItems($C45, L$42, $C$43)</f>
        <v/>
      </c>
      <c r="M45" s="334" t="str" cm="1">
        <f t="array" ref="M45">calculateSandwichItems($C45, M$42, $C$43)</f>
        <v/>
      </c>
      <c r="N45" s="361"/>
      <c r="O45" s="360"/>
      <c r="U45"/>
      <c r="W45" s="49"/>
      <c r="X45" s="49"/>
      <c r="Y45" s="49"/>
      <c r="Z45" s="49"/>
      <c r="AA45" s="49"/>
      <c r="AB45" s="49"/>
      <c r="AC45" s="49"/>
      <c r="AD45" s="49"/>
      <c r="AE45" s="49"/>
      <c r="AF45" s="49"/>
      <c r="AG45" s="49"/>
    </row>
    <row r="46" spans="3:35" x14ac:dyDescent="0.3">
      <c r="C46" s="333"/>
      <c r="D46" s="54" t="str" cm="1">
        <f t="array" ref="D46">calculateSandwichItems($C46, D$42, $C$43)</f>
        <v/>
      </c>
      <c r="E46" s="54" t="str" cm="1">
        <f t="array" ref="E46">calculateSandwichItems($C46, E$42, $C$43)</f>
        <v/>
      </c>
      <c r="F46" s="54" t="str" cm="1">
        <f t="array" ref="F46">calculateSandwichItems($C46, F$42, $C$43)</f>
        <v/>
      </c>
      <c r="G46" s="54" t="str" cm="1">
        <f t="array" ref="G46">calculateSandwichItems($C46, G$42, $C$43)</f>
        <v/>
      </c>
      <c r="H46" s="54" t="str" cm="1">
        <f t="array" ref="H46">calculateSandwichItems($C46, H$42, $C$43)</f>
        <v/>
      </c>
      <c r="I46" s="54" t="str" cm="1">
        <f t="array" ref="I46">calculateSandwichItems($C46, I$42, $C$43)</f>
        <v/>
      </c>
      <c r="J46" s="54" t="str" cm="1">
        <f t="array" ref="J46">calculateSandwichItems($C46, J$42, $C$43)</f>
        <v/>
      </c>
      <c r="K46" s="54" t="str" cm="1">
        <f t="array" ref="K46">calculateSandwichItems($C46, K$42, $C$43)</f>
        <v/>
      </c>
      <c r="L46" s="54" t="str" cm="1">
        <f t="array" ref="L46">calculateSandwichItems($C46, L$42, $C$43)</f>
        <v/>
      </c>
      <c r="M46" s="334" t="str" cm="1">
        <f t="array" ref="M46">calculateSandwichItems($C46, M$42, $C$43)</f>
        <v/>
      </c>
      <c r="N46" s="361"/>
      <c r="O46" s="360"/>
      <c r="U46"/>
      <c r="W46" s="49"/>
      <c r="X46" s="49"/>
      <c r="Y46" s="49"/>
      <c r="Z46" s="49"/>
      <c r="AA46" s="49"/>
      <c r="AB46" s="49"/>
      <c r="AC46" s="49"/>
      <c r="AD46" s="49"/>
      <c r="AE46" s="49"/>
      <c r="AF46" s="49"/>
      <c r="AG46" s="49"/>
    </row>
    <row r="47" spans="3:35" x14ac:dyDescent="0.3">
      <c r="C47" s="333"/>
      <c r="D47" s="54" t="str" cm="1">
        <f t="array" ref="D47">calculateSandwichItems($C47, D$42, $C$43)</f>
        <v/>
      </c>
      <c r="E47" s="54" t="str" cm="1">
        <f t="array" ref="E47">calculateSandwichItems($C47, E$42, $C$43)</f>
        <v/>
      </c>
      <c r="F47" s="54" t="str" cm="1">
        <f t="array" ref="F47">calculateSandwichItems($C47, F$42, $C$43)</f>
        <v/>
      </c>
      <c r="G47" s="54" t="str" cm="1">
        <f t="array" ref="G47">calculateSandwichItems($C47, G$42, $C$43)</f>
        <v/>
      </c>
      <c r="H47" s="54" t="str" cm="1">
        <f t="array" ref="H47">calculateSandwichItems($C47, H$42, $C$43)</f>
        <v/>
      </c>
      <c r="I47" s="54" t="str" cm="1">
        <f t="array" ref="I47">calculateSandwichItems($C47, I$42, $C$43)</f>
        <v/>
      </c>
      <c r="J47" s="54" t="str" cm="1">
        <f t="array" ref="J47">calculateSandwichItems($C47, J$42, $C$43)</f>
        <v/>
      </c>
      <c r="K47" s="54" t="str" cm="1">
        <f t="array" ref="K47">calculateSandwichItems($C47, K$42, $C$43)</f>
        <v/>
      </c>
      <c r="L47" s="54" t="str" cm="1">
        <f t="array" ref="L47">calculateSandwichItems($C47, L$42, $C$43)</f>
        <v/>
      </c>
      <c r="M47" s="334" t="str" cm="1">
        <f t="array" ref="M47">calculateSandwichItems($C47, M$42, $C$43)</f>
        <v/>
      </c>
      <c r="N47" s="361"/>
      <c r="O47" s="360"/>
      <c r="U47"/>
      <c r="W47" s="49"/>
      <c r="X47" s="49"/>
      <c r="Y47" s="49"/>
      <c r="Z47" s="49"/>
      <c r="AA47" s="49"/>
      <c r="AB47" s="49"/>
      <c r="AC47" s="49"/>
      <c r="AD47" s="49"/>
      <c r="AE47" s="49"/>
      <c r="AF47" s="49"/>
      <c r="AG47" s="49"/>
    </row>
    <row r="48" spans="3:35" x14ac:dyDescent="0.3">
      <c r="C48" s="333"/>
      <c r="D48" s="54" t="str" cm="1">
        <f t="array" ref="D48">calculateSandwichItems($C48, D$42, $C$43)</f>
        <v/>
      </c>
      <c r="E48" s="54" t="str" cm="1">
        <f t="array" ref="E48">calculateSandwichItems($C48, E$42, $C$43)</f>
        <v/>
      </c>
      <c r="F48" s="54" t="str" cm="1">
        <f t="array" ref="F48">calculateSandwichItems($C48, F$42, $C$43)</f>
        <v/>
      </c>
      <c r="G48" s="54" t="str" cm="1">
        <f t="array" ref="G48">calculateSandwichItems($C48, G$42, $C$43)</f>
        <v/>
      </c>
      <c r="H48" s="54" t="str" cm="1">
        <f t="array" ref="H48">calculateSandwichItems($C48, H$42, $C$43)</f>
        <v/>
      </c>
      <c r="I48" s="54" t="str" cm="1">
        <f t="array" ref="I48">calculateSandwichItems($C48, I$42, $C$43)</f>
        <v/>
      </c>
      <c r="J48" s="54" t="str" cm="1">
        <f t="array" ref="J48">calculateSandwichItems($C48, J$42, $C$43)</f>
        <v/>
      </c>
      <c r="K48" s="54" t="str" cm="1">
        <f t="array" ref="K48">calculateSandwichItems($C48, K$42, $C$43)</f>
        <v/>
      </c>
      <c r="L48" s="54" t="str" cm="1">
        <f t="array" ref="L48">calculateSandwichItems($C48, L$42, $C$43)</f>
        <v/>
      </c>
      <c r="M48" s="334" t="str" cm="1">
        <f t="array" ref="M48">calculateSandwichItems($C48, M$42, $C$43)</f>
        <v/>
      </c>
      <c r="N48" s="361"/>
      <c r="O48" s="360"/>
      <c r="U48"/>
      <c r="W48" s="49"/>
      <c r="X48" s="49"/>
      <c r="Y48" s="49"/>
      <c r="Z48" s="49"/>
      <c r="AA48" s="49"/>
      <c r="AB48" s="49"/>
      <c r="AC48" s="49"/>
      <c r="AD48" s="49"/>
      <c r="AE48" s="49"/>
      <c r="AF48" s="49"/>
      <c r="AG48" s="49"/>
    </row>
    <row r="49" spans="3:21" x14ac:dyDescent="0.3">
      <c r="C49" s="333"/>
      <c r="D49" s="54" t="str" cm="1">
        <f t="array" ref="D49">calculateSandwichItems($C49, D$42, $C$43)</f>
        <v/>
      </c>
      <c r="E49" s="54" t="str" cm="1">
        <f t="array" ref="E49">calculateSandwichItems($C49, E$42, $C$43)</f>
        <v/>
      </c>
      <c r="F49" s="54" t="str" cm="1">
        <f t="array" ref="F49">calculateSandwichItems($C49, F$42, $C$43)</f>
        <v/>
      </c>
      <c r="G49" s="54" t="str" cm="1">
        <f t="array" ref="G49">calculateSandwichItems($C49, G$42, $C$43)</f>
        <v/>
      </c>
      <c r="H49" s="54" t="str" cm="1">
        <f t="array" ref="H49">calculateSandwichItems($C49, H$42, $C$43)</f>
        <v/>
      </c>
      <c r="I49" s="54" t="str" cm="1">
        <f t="array" ref="I49">calculateSandwichItems($C49, I$42, $C$43)</f>
        <v/>
      </c>
      <c r="J49" s="54" t="str" cm="1">
        <f t="array" ref="J49">calculateSandwichItems($C49, J$42, $C$43)</f>
        <v/>
      </c>
      <c r="K49" s="54" t="str" cm="1">
        <f t="array" ref="K49">calculateSandwichItems($C49, K$42, $C$43)</f>
        <v/>
      </c>
      <c r="L49" s="54" t="str" cm="1">
        <f t="array" ref="L49">calculateSandwichItems($C49, L$42, $C$43)</f>
        <v/>
      </c>
      <c r="M49" s="334" t="str" cm="1">
        <f t="array" ref="M49">calculateSandwichItems($C49, M$42, $C$43)</f>
        <v/>
      </c>
      <c r="N49" s="361"/>
      <c r="O49" s="360"/>
      <c r="U49"/>
    </row>
    <row r="50" spans="3:21" x14ac:dyDescent="0.3">
      <c r="C50" s="333"/>
      <c r="D50" s="54" t="str" cm="1">
        <f t="array" ref="D50">calculateSandwichItems($C50, D$42, $C$43)</f>
        <v/>
      </c>
      <c r="E50" s="54" t="str" cm="1">
        <f t="array" ref="E50">calculateSandwichItems($C50, E$42, $C$43)</f>
        <v/>
      </c>
      <c r="F50" s="54" t="str" cm="1">
        <f t="array" ref="F50">calculateSandwichItems($C50, F$42, $C$43)</f>
        <v/>
      </c>
      <c r="G50" s="54" t="str" cm="1">
        <f t="array" ref="G50">calculateSandwichItems($C50, G$42, $C$43)</f>
        <v/>
      </c>
      <c r="H50" s="54" t="str" cm="1">
        <f t="array" ref="H50">calculateSandwichItems($C50, H$42, $C$43)</f>
        <v/>
      </c>
      <c r="I50" s="54" t="str" cm="1">
        <f t="array" ref="I50">calculateSandwichItems($C50, I$42, $C$43)</f>
        <v/>
      </c>
      <c r="J50" s="54" t="str" cm="1">
        <f t="array" ref="J50">calculateSandwichItems($C50, J$42, $C$43)</f>
        <v/>
      </c>
      <c r="K50" s="54" t="str" cm="1">
        <f t="array" ref="K50">calculateSandwichItems($C50, K$42, $C$43)</f>
        <v/>
      </c>
      <c r="L50" s="54" t="str" cm="1">
        <f t="array" ref="L50">calculateSandwichItems($C50, L$42, $C$43)</f>
        <v/>
      </c>
      <c r="M50" s="334" t="str" cm="1">
        <f t="array" ref="M50">calculateSandwichItems($C50, M$42, $C$43)</f>
        <v/>
      </c>
      <c r="N50" s="361"/>
      <c r="O50" s="360"/>
      <c r="U50"/>
    </row>
    <row r="51" spans="3:21" x14ac:dyDescent="0.3">
      <c r="C51" s="333"/>
      <c r="D51" s="54" t="str" cm="1">
        <f t="array" ref="D51">calculateSandwichItems($C51, D$42, $C$43)</f>
        <v/>
      </c>
      <c r="E51" s="54" t="str" cm="1">
        <f t="array" ref="E51">calculateSandwichItems($C51, E$42, $C$43)</f>
        <v/>
      </c>
      <c r="F51" s="54" t="str" cm="1">
        <f t="array" ref="F51">calculateSandwichItems($C51, F$42, $C$43)</f>
        <v/>
      </c>
      <c r="G51" s="54" t="str" cm="1">
        <f t="array" ref="G51">calculateSandwichItems($C51, G$42, $C$43)</f>
        <v/>
      </c>
      <c r="H51" s="54" t="str" cm="1">
        <f t="array" ref="H51">calculateSandwichItems($C51, H$42, $C$43)</f>
        <v/>
      </c>
      <c r="I51" s="54" t="str" cm="1">
        <f t="array" ref="I51">calculateSandwichItems($C51, I$42, $C$43)</f>
        <v/>
      </c>
      <c r="J51" s="54" t="str" cm="1">
        <f t="array" ref="J51">calculateSandwichItems($C51, J$42, $C$43)</f>
        <v/>
      </c>
      <c r="K51" s="54" t="str" cm="1">
        <f t="array" ref="K51">calculateSandwichItems($C51, K$42, $C$43)</f>
        <v/>
      </c>
      <c r="L51" s="54" t="str" cm="1">
        <f t="array" ref="L51">calculateSandwichItems($C51, L$42, $C$43)</f>
        <v/>
      </c>
      <c r="M51" s="334" t="str" cm="1">
        <f t="array" ref="M51">calculateSandwichItems($C51, M$42, $C$43)</f>
        <v/>
      </c>
      <c r="N51" s="361"/>
      <c r="O51" s="360"/>
      <c r="U51"/>
    </row>
    <row r="52" spans="3:21" x14ac:dyDescent="0.3">
      <c r="C52" s="333"/>
      <c r="D52" s="54" t="str" cm="1">
        <f t="array" ref="D52">calculateSandwichItems($C52, D$42, $C$43)</f>
        <v/>
      </c>
      <c r="E52" s="54" t="str" cm="1">
        <f t="array" ref="E52">calculateSandwichItems($C52, E$42, $C$43)</f>
        <v/>
      </c>
      <c r="F52" s="54" t="str" cm="1">
        <f t="array" ref="F52">calculateSandwichItems($C52, F$42, $C$43)</f>
        <v/>
      </c>
      <c r="G52" s="54" t="str" cm="1">
        <f t="array" ref="G52">calculateSandwichItems($C52, G$42, $C$43)</f>
        <v/>
      </c>
      <c r="H52" s="54" t="str" cm="1">
        <f t="array" ref="H52">calculateSandwichItems($C52, H$42, $C$43)</f>
        <v/>
      </c>
      <c r="I52" s="54" t="str" cm="1">
        <f t="array" ref="I52">calculateSandwichItems($C52, I$42, $C$43)</f>
        <v/>
      </c>
      <c r="J52" s="54" t="str" cm="1">
        <f t="array" ref="J52">calculateSandwichItems($C52, J$42, $C$43)</f>
        <v/>
      </c>
      <c r="K52" s="54" t="str" cm="1">
        <f t="array" ref="K52">calculateSandwichItems($C52, K$42, $C$43)</f>
        <v/>
      </c>
      <c r="L52" s="54" t="str" cm="1">
        <f t="array" ref="L52">calculateSandwichItems($C52, L$42, $C$43)</f>
        <v/>
      </c>
      <c r="M52" s="334" t="str" cm="1">
        <f t="array" ref="M52">calculateSandwichItems($C52, M$42, $C$43)</f>
        <v/>
      </c>
      <c r="N52" s="361"/>
      <c r="O52" s="360"/>
      <c r="U52"/>
    </row>
    <row r="53" spans="3:21" x14ac:dyDescent="0.3">
      <c r="C53" s="333"/>
      <c r="D53" s="54" t="str" cm="1">
        <f t="array" ref="D53">calculateSandwichItems($C53, D$42, $C$43)</f>
        <v/>
      </c>
      <c r="E53" s="54" t="str" cm="1">
        <f t="array" ref="E53">calculateSandwichItems($C53, E$42, $C$43)</f>
        <v/>
      </c>
      <c r="F53" s="54" t="str" cm="1">
        <f t="array" ref="F53">calculateSandwichItems($C53, F$42, $C$43)</f>
        <v/>
      </c>
      <c r="G53" s="54" t="str" cm="1">
        <f t="array" ref="G53">calculateSandwichItems($C53, G$42, $C$43)</f>
        <v/>
      </c>
      <c r="H53" s="54" t="str" cm="1">
        <f t="array" ref="H53">calculateSandwichItems($C53, H$42, $C$43)</f>
        <v/>
      </c>
      <c r="I53" s="54" t="str" cm="1">
        <f t="array" ref="I53">calculateSandwichItems($C53, I$42, $C$43)</f>
        <v/>
      </c>
      <c r="J53" s="54" t="str" cm="1">
        <f t="array" ref="J53">calculateSandwichItems($C53, J$42, $C$43)</f>
        <v/>
      </c>
      <c r="K53" s="54" t="str" cm="1">
        <f t="array" ref="K53">calculateSandwichItems($C53, K$42, $C$43)</f>
        <v/>
      </c>
      <c r="L53" s="54" t="str" cm="1">
        <f t="array" ref="L53">calculateSandwichItems($C53, L$42, $C$43)</f>
        <v/>
      </c>
      <c r="M53" s="334" t="str" cm="1">
        <f t="array" ref="M53">calculateSandwichItems($C53, M$42, $C$43)</f>
        <v/>
      </c>
      <c r="N53" s="361"/>
      <c r="O53" s="360"/>
      <c r="U53"/>
    </row>
    <row r="54" spans="3:21" x14ac:dyDescent="0.3">
      <c r="C54" s="333"/>
      <c r="D54" s="54" t="str" cm="1">
        <f t="array" ref="D54">calculateSandwichItems($C54, D$42, $C$43)</f>
        <v/>
      </c>
      <c r="E54" s="54" t="str" cm="1">
        <f t="array" ref="E54">calculateSandwichItems($C54, E$42, $C$43)</f>
        <v/>
      </c>
      <c r="F54" s="54" t="str" cm="1">
        <f t="array" ref="F54">calculateSandwichItems($C54, F$42, $C$43)</f>
        <v/>
      </c>
      <c r="G54" s="54" t="str" cm="1">
        <f t="array" ref="G54">calculateSandwichItems($C54, G$42, $C$43)</f>
        <v/>
      </c>
      <c r="H54" s="54" t="str" cm="1">
        <f t="array" ref="H54">calculateSandwichItems($C54, H$42, $C$43)</f>
        <v/>
      </c>
      <c r="I54" s="54" t="str" cm="1">
        <f t="array" ref="I54">calculateSandwichItems($C54, I$42, $C$43)</f>
        <v/>
      </c>
      <c r="J54" s="54" t="str" cm="1">
        <f t="array" ref="J54">calculateSandwichItems($C54, J$42, $C$43)</f>
        <v/>
      </c>
      <c r="K54" s="54" t="str" cm="1">
        <f t="array" ref="K54">calculateSandwichItems($C54, K$42, $C$43)</f>
        <v/>
      </c>
      <c r="L54" s="54" t="str" cm="1">
        <f t="array" ref="L54">calculateSandwichItems($C54, L$42, $C$43)</f>
        <v/>
      </c>
      <c r="M54" s="334" t="str" cm="1">
        <f t="array" ref="M54">calculateSandwichItems($C54, M$42, $C$43)</f>
        <v/>
      </c>
      <c r="N54" s="361"/>
      <c r="O54" s="360"/>
      <c r="R54"/>
      <c r="S54"/>
      <c r="T54"/>
      <c r="U54"/>
    </row>
    <row r="55" spans="3:21" x14ac:dyDescent="0.3">
      <c r="C55" s="333"/>
      <c r="D55" s="54" t="str" cm="1">
        <f t="array" ref="D55">calculateSandwichItems($C55, D$42, $C$43)</f>
        <v/>
      </c>
      <c r="E55" s="54" t="str" cm="1">
        <f t="array" ref="E55">calculateSandwichItems($C55, E$42, $C$43)</f>
        <v/>
      </c>
      <c r="F55" s="54" t="str" cm="1">
        <f t="array" ref="F55">calculateSandwichItems($C55, F$42, $C$43)</f>
        <v/>
      </c>
      <c r="G55" s="54" t="str" cm="1">
        <f t="array" ref="G55">calculateSandwichItems($C55, G$42, $C$43)</f>
        <v/>
      </c>
      <c r="H55" s="54" t="str" cm="1">
        <f t="array" ref="H55">calculateSandwichItems($C55, H$42, $C$43)</f>
        <v/>
      </c>
      <c r="I55" s="54" t="str" cm="1">
        <f t="array" ref="I55">calculateSandwichItems($C55, I$42, $C$43)</f>
        <v/>
      </c>
      <c r="J55" s="54" t="str" cm="1">
        <f t="array" ref="J55">calculateSandwichItems($C55, J$42, $C$43)</f>
        <v/>
      </c>
      <c r="K55" s="54" t="str" cm="1">
        <f t="array" ref="K55">calculateSandwichItems($C55, K$42, $C$43)</f>
        <v/>
      </c>
      <c r="L55" s="54" t="str" cm="1">
        <f t="array" ref="L55">calculateSandwichItems($C55, L$42, $C$43)</f>
        <v/>
      </c>
      <c r="M55" s="334" t="str" cm="1">
        <f t="array" ref="M55">calculateSandwichItems($C55, M$42, $C$43)</f>
        <v/>
      </c>
      <c r="N55" s="361"/>
      <c r="O55" s="360"/>
      <c r="R55"/>
      <c r="S55"/>
      <c r="T55"/>
      <c r="U55"/>
    </row>
    <row r="56" spans="3:21" x14ac:dyDescent="0.3">
      <c r="C56" s="333"/>
      <c r="D56" s="54" t="str" cm="1">
        <f t="array" ref="D56">calculateSandwichItems($C56, D$42, $C$43)</f>
        <v/>
      </c>
      <c r="E56" s="54" t="str" cm="1">
        <f t="array" ref="E56">calculateSandwichItems($C56, E$42, $C$43)</f>
        <v/>
      </c>
      <c r="F56" s="54" t="str" cm="1">
        <f t="array" ref="F56">calculateSandwichItems($C56, F$42, $C$43)</f>
        <v/>
      </c>
      <c r="G56" s="54" t="str" cm="1">
        <f t="array" ref="G56">calculateSandwichItems($C56, G$42, $C$43)</f>
        <v/>
      </c>
      <c r="H56" s="54" t="str" cm="1">
        <f t="array" ref="H56">calculateSandwichItems($C56, H$42, $C$43)</f>
        <v/>
      </c>
      <c r="I56" s="54" t="str" cm="1">
        <f t="array" ref="I56">calculateSandwichItems($C56, I$42, $C$43)</f>
        <v/>
      </c>
      <c r="J56" s="54" t="str" cm="1">
        <f t="array" ref="J56">calculateSandwichItems($C56, J$42, $C$43)</f>
        <v/>
      </c>
      <c r="K56" s="54" t="str" cm="1">
        <f t="array" ref="K56">calculateSandwichItems($C56, K$42, $C$43)</f>
        <v/>
      </c>
      <c r="L56" s="54" t="str" cm="1">
        <f t="array" ref="L56">calculateSandwichItems($C56, L$42, $C$43)</f>
        <v/>
      </c>
      <c r="M56" s="334" t="str" cm="1">
        <f t="array" ref="M56">calculateSandwichItems($C56, M$42, $C$43)</f>
        <v/>
      </c>
      <c r="N56" s="361"/>
      <c r="O56" s="360"/>
      <c r="R56"/>
      <c r="S56"/>
      <c r="T56"/>
      <c r="U56"/>
    </row>
    <row r="57" spans="3:21" x14ac:dyDescent="0.3">
      <c r="C57" s="333"/>
      <c r="D57" s="54" t="str" cm="1">
        <f t="array" ref="D57">calculateSandwichItems($C57, D$42, $C$43)</f>
        <v/>
      </c>
      <c r="E57" s="54" t="str" cm="1">
        <f t="array" ref="E57">calculateSandwichItems($C57, E$42, $C$43)</f>
        <v/>
      </c>
      <c r="F57" s="54" t="str" cm="1">
        <f t="array" ref="F57">calculateSandwichItems($C57, F$42, $C$43)</f>
        <v/>
      </c>
      <c r="G57" s="54" t="str" cm="1">
        <f t="array" ref="G57">calculateSandwichItems($C57, G$42, $C$43)</f>
        <v/>
      </c>
      <c r="H57" s="54" t="str" cm="1">
        <f t="array" ref="H57">calculateSandwichItems($C57, H$42, $C$43)</f>
        <v/>
      </c>
      <c r="I57" s="54" t="str" cm="1">
        <f t="array" ref="I57">calculateSandwichItems($C57, I$42, $C$43)</f>
        <v/>
      </c>
      <c r="J57" s="54" t="str" cm="1">
        <f t="array" ref="J57">calculateSandwichItems($C57, J$42, $C$43)</f>
        <v/>
      </c>
      <c r="K57" s="54" t="str" cm="1">
        <f t="array" ref="K57">calculateSandwichItems($C57, K$42, $C$43)</f>
        <v/>
      </c>
      <c r="L57" s="54" t="str" cm="1">
        <f t="array" ref="L57">calculateSandwichItems($C57, L$42, $C$43)</f>
        <v/>
      </c>
      <c r="M57" s="334" t="str" cm="1">
        <f t="array" ref="M57">calculateSandwichItems($C57, M$42, $C$43)</f>
        <v/>
      </c>
      <c r="N57" s="361"/>
      <c r="O57" s="360"/>
      <c r="R57"/>
      <c r="S57"/>
      <c r="T57"/>
      <c r="U57"/>
    </row>
    <row r="58" spans="3:21" x14ac:dyDescent="0.3">
      <c r="C58" s="333"/>
      <c r="D58" s="54" t="str" cm="1">
        <f t="array" ref="D58">calculateSandwichItems($C58, D$42, $C$43)</f>
        <v/>
      </c>
      <c r="E58" s="54" t="str" cm="1">
        <f t="array" ref="E58">calculateSandwichItems($C58, E$42, $C$43)</f>
        <v/>
      </c>
      <c r="F58" s="54" t="str" cm="1">
        <f t="array" ref="F58">calculateSandwichItems($C58, F$42, $C$43)</f>
        <v/>
      </c>
      <c r="G58" s="54" t="str" cm="1">
        <f t="array" ref="G58">calculateSandwichItems($C58, G$42, $C$43)</f>
        <v/>
      </c>
      <c r="H58" s="54" t="str" cm="1">
        <f t="array" ref="H58">calculateSandwichItems($C58, H$42, $C$43)</f>
        <v/>
      </c>
      <c r="I58" s="54" t="str" cm="1">
        <f t="array" ref="I58">calculateSandwichItems($C58, I$42, $C$43)</f>
        <v/>
      </c>
      <c r="J58" s="54" t="str" cm="1">
        <f t="array" ref="J58">calculateSandwichItems($C58, J$42, $C$43)</f>
        <v/>
      </c>
      <c r="K58" s="54" t="str" cm="1">
        <f t="array" ref="K58">calculateSandwichItems($C58, K$42, $C$43)</f>
        <v/>
      </c>
      <c r="L58" s="54" t="str" cm="1">
        <f t="array" ref="L58">calculateSandwichItems($C58, L$42, $C$43)</f>
        <v/>
      </c>
      <c r="M58" s="334" t="str" cm="1">
        <f t="array" ref="M58">calculateSandwichItems($C58, M$42, $C$43)</f>
        <v/>
      </c>
      <c r="N58" s="361"/>
      <c r="O58" s="360"/>
      <c r="R58"/>
      <c r="S58"/>
      <c r="T58"/>
      <c r="U58"/>
    </row>
    <row r="59" spans="3:21" x14ac:dyDescent="0.3">
      <c r="C59" s="333"/>
      <c r="D59" s="54" t="str" cm="1">
        <f t="array" ref="D59">calculateSandwichItems($C59, D$42, $C$43)</f>
        <v/>
      </c>
      <c r="E59" s="54" t="str" cm="1">
        <f t="array" ref="E59">calculateSandwichItems($C59, E$42, $C$43)</f>
        <v/>
      </c>
      <c r="F59" s="54" t="str" cm="1">
        <f t="array" ref="F59">calculateSandwichItems($C59, F$42, $C$43)</f>
        <v/>
      </c>
      <c r="G59" s="54" t="str" cm="1">
        <f t="array" ref="G59">calculateSandwichItems($C59, G$42, $C$43)</f>
        <v/>
      </c>
      <c r="H59" s="54" t="str" cm="1">
        <f t="array" ref="H59">calculateSandwichItems($C59, H$42, $C$43)</f>
        <v/>
      </c>
      <c r="I59" s="54" t="str" cm="1">
        <f t="array" ref="I59">calculateSandwichItems($C59, I$42, $C$43)</f>
        <v/>
      </c>
      <c r="J59" s="54" t="str" cm="1">
        <f t="array" ref="J59">calculateSandwichItems($C59, J$42, $C$43)</f>
        <v/>
      </c>
      <c r="K59" s="54" t="str" cm="1">
        <f t="array" ref="K59">calculateSandwichItems($C59, K$42, $C$43)</f>
        <v/>
      </c>
      <c r="L59" s="54" t="str" cm="1">
        <f t="array" ref="L59">calculateSandwichItems($C59, L$42, $C$43)</f>
        <v/>
      </c>
      <c r="M59" s="334" t="str" cm="1">
        <f t="array" ref="M59">calculateSandwichItems($C59, M$42, $C$43)</f>
        <v/>
      </c>
      <c r="N59" s="361"/>
      <c r="O59" s="360"/>
      <c r="R59"/>
      <c r="S59"/>
      <c r="T59"/>
      <c r="U59"/>
    </row>
    <row r="60" spans="3:21" x14ac:dyDescent="0.3">
      <c r="C60" s="333"/>
      <c r="D60" s="54" t="str" cm="1">
        <f t="array" ref="D60">calculateSandwichItems($C60, D$42, $C$43)</f>
        <v/>
      </c>
      <c r="E60" s="54" t="str" cm="1">
        <f t="array" ref="E60">calculateSandwichItems($C60, E$42, $C$43)</f>
        <v/>
      </c>
      <c r="F60" s="54" t="str" cm="1">
        <f t="array" ref="F60">calculateSandwichItems($C60, F$42, $C$43)</f>
        <v/>
      </c>
      <c r="G60" s="54" t="str" cm="1">
        <f t="array" ref="G60">calculateSandwichItems($C60, G$42, $C$43)</f>
        <v/>
      </c>
      <c r="H60" s="54" t="str" cm="1">
        <f t="array" ref="H60">calculateSandwichItems($C60, H$42, $C$43)</f>
        <v/>
      </c>
      <c r="I60" s="54" t="str" cm="1">
        <f t="array" ref="I60">calculateSandwichItems($C60, I$42, $C$43)</f>
        <v/>
      </c>
      <c r="J60" s="54" t="str" cm="1">
        <f t="array" ref="J60">calculateSandwichItems($C60, J$42, $C$43)</f>
        <v/>
      </c>
      <c r="K60" s="54" t="str" cm="1">
        <f t="array" ref="K60">calculateSandwichItems($C60, K$42, $C$43)</f>
        <v/>
      </c>
      <c r="L60" s="54" t="str" cm="1">
        <f t="array" ref="L60">calculateSandwichItems($C60, L$42, $C$43)</f>
        <v/>
      </c>
      <c r="M60" s="334" t="str" cm="1">
        <f t="array" ref="M60">calculateSandwichItems($C60, M$42, $C$43)</f>
        <v/>
      </c>
      <c r="N60" s="361"/>
      <c r="O60" s="360"/>
      <c r="R60"/>
      <c r="S60"/>
      <c r="T60"/>
      <c r="U60"/>
    </row>
    <row r="61" spans="3:21" ht="29" thickBot="1" x14ac:dyDescent="0.35">
      <c r="C61" s="335"/>
      <c r="D61" s="184" t="str" cm="1">
        <f t="array" ref="D61">calculateSandwichItems($C61, D$42, $C$43)</f>
        <v/>
      </c>
      <c r="E61" s="184" t="str" cm="1">
        <f t="array" ref="E61">calculateSandwichItems($C61, E$42, $C$43)</f>
        <v/>
      </c>
      <c r="F61" s="184" t="str" cm="1">
        <f t="array" ref="F61">calculateSandwichItems($C61, F$42, $C$43)</f>
        <v/>
      </c>
      <c r="G61" s="184" t="str" cm="1">
        <f t="array" ref="G61">calculateSandwichItems($C61, G$42, $C$43)</f>
        <v/>
      </c>
      <c r="H61" s="184" t="str" cm="1">
        <f t="array" ref="H61">calculateSandwichItems($C61, H$42, $C$43)</f>
        <v/>
      </c>
      <c r="I61" s="184" t="str" cm="1">
        <f t="array" ref="I61">calculateSandwichItems($C61, I$42, $C$43)</f>
        <v/>
      </c>
      <c r="J61" s="184" t="str" cm="1">
        <f t="array" ref="J61">calculateSandwichItems($C61, J$42, $C$43)</f>
        <v/>
      </c>
      <c r="K61" s="184" t="str" cm="1">
        <f t="array" ref="K61">calculateSandwichItems($C61, K$42, $C$43)</f>
        <v/>
      </c>
      <c r="L61" s="184" t="str" cm="1">
        <f t="array" ref="L61">calculateSandwichItems($C61, L$42, $C$43)</f>
        <v/>
      </c>
      <c r="M61" s="336" t="str" cm="1">
        <f t="array" ref="M61">calculateSandwichItems($C61, M$42, $C$43)</f>
        <v/>
      </c>
      <c r="N61" s="361"/>
      <c r="O61" s="360"/>
      <c r="R61"/>
      <c r="S61"/>
      <c r="T61"/>
      <c r="U61"/>
    </row>
    <row r="62" spans="3:21" ht="29" thickBot="1" x14ac:dyDescent="0.35">
      <c r="C62" s="337" t="s">
        <v>254</v>
      </c>
      <c r="D62" s="338">
        <f t="shared" ref="D62:M62" si="15">SUM(D44:D61)</f>
        <v>0</v>
      </c>
      <c r="E62" s="338">
        <f t="shared" si="15"/>
        <v>0</v>
      </c>
      <c r="F62" s="338">
        <f t="shared" si="15"/>
        <v>0</v>
      </c>
      <c r="G62" s="338">
        <f t="shared" si="15"/>
        <v>0</v>
      </c>
      <c r="H62" s="338">
        <f t="shared" si="15"/>
        <v>0</v>
      </c>
      <c r="I62" s="338">
        <f t="shared" si="15"/>
        <v>0</v>
      </c>
      <c r="J62" s="338">
        <f t="shared" si="15"/>
        <v>0</v>
      </c>
      <c r="K62" s="338">
        <f t="shared" si="15"/>
        <v>0</v>
      </c>
      <c r="L62" s="338">
        <f t="shared" si="15"/>
        <v>0</v>
      </c>
      <c r="M62" s="339">
        <f t="shared" si="15"/>
        <v>0</v>
      </c>
      <c r="N62" s="361"/>
      <c r="O62" s="360"/>
      <c r="R62"/>
      <c r="S62"/>
      <c r="T62"/>
      <c r="U62"/>
    </row>
    <row r="63" spans="3:21" x14ac:dyDescent="0.3">
      <c r="R63"/>
      <c r="S63"/>
      <c r="T63"/>
      <c r="U63"/>
    </row>
    <row r="64" spans="3:21" x14ac:dyDescent="0.3">
      <c r="R64"/>
      <c r="S64"/>
      <c r="T64"/>
      <c r="U64"/>
    </row>
    <row r="65" spans="3:33" ht="29" thickBot="1" x14ac:dyDescent="0.35">
      <c r="D65" s="185">
        <v>2</v>
      </c>
      <c r="E65" s="186">
        <v>3</v>
      </c>
      <c r="F65" s="186">
        <v>4</v>
      </c>
      <c r="G65" s="186">
        <v>5</v>
      </c>
      <c r="H65" s="186">
        <v>6</v>
      </c>
      <c r="I65" s="186">
        <v>7</v>
      </c>
      <c r="J65" s="186">
        <v>8</v>
      </c>
      <c r="K65" s="186">
        <v>9</v>
      </c>
      <c r="L65" s="186">
        <v>10</v>
      </c>
      <c r="M65" s="187">
        <v>11</v>
      </c>
      <c r="R65"/>
      <c r="S65"/>
      <c r="T65"/>
      <c r="U65"/>
      <c r="W65" s="180"/>
      <c r="X65" s="180"/>
      <c r="Y65" s="180"/>
      <c r="Z65" s="180"/>
      <c r="AA65" s="180"/>
      <c r="AB65" s="180"/>
      <c r="AC65" s="180"/>
      <c r="AD65" s="180"/>
      <c r="AE65" s="180"/>
      <c r="AF65" s="180"/>
      <c r="AG65" s="180"/>
    </row>
    <row r="66" spans="3:33" ht="29" thickBot="1" x14ac:dyDescent="0.35">
      <c r="C66" s="322" t="s">
        <v>278</v>
      </c>
      <c r="D66" s="323" t="s">
        <v>140</v>
      </c>
      <c r="E66" s="323" t="s">
        <v>141</v>
      </c>
      <c r="F66" s="323" t="s">
        <v>142</v>
      </c>
      <c r="G66" s="323" t="s">
        <v>143</v>
      </c>
      <c r="H66" s="323" t="s">
        <v>144</v>
      </c>
      <c r="I66" s="323" t="s">
        <v>145</v>
      </c>
      <c r="J66" s="323" t="s">
        <v>146</v>
      </c>
      <c r="K66" s="323" t="s">
        <v>147</v>
      </c>
      <c r="L66" s="323" t="s">
        <v>148</v>
      </c>
      <c r="M66" s="324" t="s">
        <v>149</v>
      </c>
      <c r="N66" s="361"/>
      <c r="O66" s="360"/>
      <c r="R66"/>
      <c r="S66"/>
      <c r="T66"/>
      <c r="U66"/>
    </row>
    <row r="67" spans="3:33" x14ac:dyDescent="0.3">
      <c r="C67" s="325" t="s">
        <v>181</v>
      </c>
      <c r="D67" s="192" cm="1">
        <f t="array" ref="D67">calculateSandwichItems($C67, D$65, $C$66)</f>
        <v>42</v>
      </c>
      <c r="E67" s="192" cm="1">
        <f t="array" ref="E67">calculateSandwichItems($C67, E$65, $C$66)</f>
        <v>248</v>
      </c>
      <c r="F67" s="192" cm="1">
        <f t="array" ref="F67">calculateSandwichItems($C67, F$65, $C$66)</f>
        <v>59.2</v>
      </c>
      <c r="G67" s="192" cm="1">
        <f t="array" ref="G67">calculateSandwichItems($C67, G$65, $C$66)</f>
        <v>0.6</v>
      </c>
      <c r="H67" s="192" cm="1">
        <f t="array" ref="H67">calculateSandwichItems($C67, H$65, $C$66)</f>
        <v>0.6</v>
      </c>
      <c r="I67" s="192" cm="1">
        <f t="array" ref="I67">calculateSandwichItems($C67, I$65, $C$66)</f>
        <v>0</v>
      </c>
      <c r="J67" s="192" cm="1">
        <f t="array" ref="J67">calculateSandwichItems($C67, J$65, $C$66)</f>
        <v>13</v>
      </c>
      <c r="K67" s="192" cm="1">
        <f t="array" ref="K67">calculateSandwichItems($C67, K$65, $C$66)</f>
        <v>8.8000000000000007</v>
      </c>
      <c r="L67" s="192" cm="1">
        <f t="array" ref="L67">calculateSandwichItems($C67, L$65, $C$66)</f>
        <v>0</v>
      </c>
      <c r="M67" s="192" cm="1">
        <f t="array" ref="M67">calculateSandwichItems($C67, M$65, $C$66)</f>
        <v>189</v>
      </c>
      <c r="N67" s="361"/>
      <c r="O67" s="360"/>
      <c r="R67"/>
      <c r="S67"/>
      <c r="T67"/>
      <c r="U67"/>
    </row>
    <row r="68" spans="3:33" x14ac:dyDescent="0.3">
      <c r="C68" s="326"/>
      <c r="D68" s="51" t="str" cm="1">
        <f t="array" ref="D68">calculateSandwichItems($C68, D$65, $C$66)</f>
        <v/>
      </c>
      <c r="E68" s="51" t="str" cm="1">
        <f t="array" ref="E68">calculateSandwichItems($C68, E$65, $C$66)</f>
        <v/>
      </c>
      <c r="F68" s="51" t="str" cm="1">
        <f t="array" ref="F68">calculateSandwichItems($C68, F$65, $C$66)</f>
        <v/>
      </c>
      <c r="G68" s="51" t="str" cm="1">
        <f t="array" ref="G68">calculateSandwichItems($C68, G$65, $C$66)</f>
        <v/>
      </c>
      <c r="H68" s="51" t="str" cm="1">
        <f t="array" ref="H68">calculateSandwichItems($C68, H$65, $C$66)</f>
        <v/>
      </c>
      <c r="I68" s="51" t="str" cm="1">
        <f t="array" ref="I68">calculateSandwichItems($C68, I$65, $C$66)</f>
        <v/>
      </c>
      <c r="J68" s="51" t="str" cm="1">
        <f t="array" ref="J68">calculateSandwichItems($C68, J$65, $C$66)</f>
        <v/>
      </c>
      <c r="K68" s="51" t="str" cm="1">
        <f t="array" ref="K68">calculateSandwichItems($C68, K$65, $C$66)</f>
        <v/>
      </c>
      <c r="L68" s="51" t="str" cm="1">
        <f t="array" ref="L68">calculateSandwichItems($C68, L$65, $C$66)</f>
        <v/>
      </c>
      <c r="M68" s="327" t="str" cm="1">
        <f t="array" ref="M68">calculateSandwichItems($C68, M$65, $C$66)</f>
        <v/>
      </c>
      <c r="N68" s="361"/>
      <c r="O68" s="360"/>
      <c r="R68"/>
      <c r="S68"/>
      <c r="T68"/>
      <c r="U68"/>
    </row>
    <row r="69" spans="3:33" x14ac:dyDescent="0.3">
      <c r="C69" s="326"/>
      <c r="D69" s="51" t="str" cm="1">
        <f t="array" ref="D69">calculateSandwichItems($C69, D$65, $C$66)</f>
        <v/>
      </c>
      <c r="E69" s="51" t="str" cm="1">
        <f t="array" ref="E69">calculateSandwichItems($C69, E$65, $C$66)</f>
        <v/>
      </c>
      <c r="F69" s="51" t="str" cm="1">
        <f t="array" ref="F69">calculateSandwichItems($C69, F$65, $C$66)</f>
        <v/>
      </c>
      <c r="G69" s="51" t="str" cm="1">
        <f t="array" ref="G69">calculateSandwichItems($C69, G$65, $C$66)</f>
        <v/>
      </c>
      <c r="H69" s="51" t="str" cm="1">
        <f t="array" ref="H69">calculateSandwichItems($C69, H$65, $C$66)</f>
        <v/>
      </c>
      <c r="I69" s="51" t="str" cm="1">
        <f t="array" ref="I69">calculateSandwichItems($C69, I$65, $C$66)</f>
        <v/>
      </c>
      <c r="J69" s="51" t="str" cm="1">
        <f t="array" ref="J69">calculateSandwichItems($C69, J$65, $C$66)</f>
        <v/>
      </c>
      <c r="K69" s="51" t="str" cm="1">
        <f t="array" ref="K69">calculateSandwichItems($C69, K$65, $C$66)</f>
        <v/>
      </c>
      <c r="L69" s="51" t="str" cm="1">
        <f t="array" ref="L69">calculateSandwichItems($C69, L$65, $C$66)</f>
        <v/>
      </c>
      <c r="M69" s="327" t="str" cm="1">
        <f t="array" ref="M69">calculateSandwichItems($C69, M$65, $C$66)</f>
        <v/>
      </c>
      <c r="N69" s="361"/>
      <c r="O69" s="360"/>
      <c r="R69"/>
      <c r="S69"/>
      <c r="T69"/>
      <c r="U69"/>
    </row>
    <row r="70" spans="3:33" x14ac:dyDescent="0.3">
      <c r="C70" s="326"/>
      <c r="D70" s="51" t="str" cm="1">
        <f t="array" ref="D70">calculateSandwichItems($C70, D$65, $C$66)</f>
        <v/>
      </c>
      <c r="E70" s="51" t="str" cm="1">
        <f t="array" ref="E70">calculateSandwichItems($C70, E$65, $C$66)</f>
        <v/>
      </c>
      <c r="F70" s="51" t="str" cm="1">
        <f t="array" ref="F70">calculateSandwichItems($C70, F$65, $C$66)</f>
        <v/>
      </c>
      <c r="G70" s="51" t="str" cm="1">
        <f t="array" ref="G70">calculateSandwichItems($C70, G$65, $C$66)</f>
        <v/>
      </c>
      <c r="H70" s="51" t="str" cm="1">
        <f t="array" ref="H70">calculateSandwichItems($C70, H$65, $C$66)</f>
        <v/>
      </c>
      <c r="I70" s="51" t="str" cm="1">
        <f t="array" ref="I70">calculateSandwichItems($C70, I$65, $C$66)</f>
        <v/>
      </c>
      <c r="J70" s="51" t="str" cm="1">
        <f t="array" ref="J70">calculateSandwichItems($C70, J$65, $C$66)</f>
        <v/>
      </c>
      <c r="K70" s="51" t="str" cm="1">
        <f t="array" ref="K70">calculateSandwichItems($C70, K$65, $C$66)</f>
        <v/>
      </c>
      <c r="L70" s="51" t="str" cm="1">
        <f t="array" ref="L70">calculateSandwichItems($C70, L$65, $C$66)</f>
        <v/>
      </c>
      <c r="M70" s="327" t="str" cm="1">
        <f t="array" ref="M70">calculateSandwichItems($C70, M$65, $C$66)</f>
        <v/>
      </c>
      <c r="N70" s="361"/>
      <c r="O70" s="360"/>
      <c r="R70"/>
      <c r="S70"/>
      <c r="T70"/>
      <c r="U70"/>
    </row>
    <row r="71" spans="3:33" x14ac:dyDescent="0.3">
      <c r="C71" s="326"/>
      <c r="D71" s="51" t="str" cm="1">
        <f t="array" ref="D71">calculateSandwichItems($C71, D$65, $C$66)</f>
        <v/>
      </c>
      <c r="E71" s="51" t="str" cm="1">
        <f t="array" ref="E71">calculateSandwichItems($C71, E$65, $C$66)</f>
        <v/>
      </c>
      <c r="F71" s="51" t="str" cm="1">
        <f t="array" ref="F71">calculateSandwichItems($C71, F$65, $C$66)</f>
        <v/>
      </c>
      <c r="G71" s="51" t="str" cm="1">
        <f t="array" ref="G71">calculateSandwichItems($C71, G$65, $C$66)</f>
        <v/>
      </c>
      <c r="H71" s="51" t="str" cm="1">
        <f t="array" ref="H71">calculateSandwichItems($C71, H$65, $C$66)</f>
        <v/>
      </c>
      <c r="I71" s="51" t="str" cm="1">
        <f t="array" ref="I71">calculateSandwichItems($C71, I$65, $C$66)</f>
        <v/>
      </c>
      <c r="J71" s="51" t="str" cm="1">
        <f t="array" ref="J71">calculateSandwichItems($C71, J$65, $C$66)</f>
        <v/>
      </c>
      <c r="K71" s="51" t="str" cm="1">
        <f t="array" ref="K71">calculateSandwichItems($C71, K$65, $C$66)</f>
        <v/>
      </c>
      <c r="L71" s="51" t="str" cm="1">
        <f t="array" ref="L71">calculateSandwichItems($C71, L$65, $C$66)</f>
        <v/>
      </c>
      <c r="M71" s="327" t="str" cm="1">
        <f t="array" ref="M71">calculateSandwichItems($C71, M$65, $C$66)</f>
        <v/>
      </c>
      <c r="N71" s="361"/>
      <c r="O71" s="360"/>
      <c r="R71"/>
      <c r="S71"/>
      <c r="T71"/>
      <c r="U71"/>
    </row>
    <row r="72" spans="3:33" x14ac:dyDescent="0.3">
      <c r="C72" s="326"/>
      <c r="D72" s="51" t="str" cm="1">
        <f t="array" ref="D72">calculateSandwichItems($C72, D$65, $C$66)</f>
        <v/>
      </c>
      <c r="E72" s="51" t="str" cm="1">
        <f t="array" ref="E72">calculateSandwichItems($C72, E$65, $C$66)</f>
        <v/>
      </c>
      <c r="F72" s="51" t="str" cm="1">
        <f t="array" ref="F72">calculateSandwichItems($C72, F$65, $C$66)</f>
        <v/>
      </c>
      <c r="G72" s="51" t="str" cm="1">
        <f t="array" ref="G72">calculateSandwichItems($C72, G$65, $C$66)</f>
        <v/>
      </c>
      <c r="H72" s="51" t="str" cm="1">
        <f t="array" ref="H72">calculateSandwichItems($C72, H$65, $C$66)</f>
        <v/>
      </c>
      <c r="I72" s="51" t="str" cm="1">
        <f t="array" ref="I72">calculateSandwichItems($C72, I$65, $C$66)</f>
        <v/>
      </c>
      <c r="J72" s="51" t="str" cm="1">
        <f t="array" ref="J72">calculateSandwichItems($C72, J$65, $C$66)</f>
        <v/>
      </c>
      <c r="K72" s="51" t="str" cm="1">
        <f t="array" ref="K72">calculateSandwichItems($C72, K$65, $C$66)</f>
        <v/>
      </c>
      <c r="L72" s="51" t="str" cm="1">
        <f t="array" ref="L72">calculateSandwichItems($C72, L$65, $C$66)</f>
        <v/>
      </c>
      <c r="M72" s="327" t="str" cm="1">
        <f t="array" ref="M72">calculateSandwichItems($C72, M$65, $C$66)</f>
        <v/>
      </c>
      <c r="N72" s="361"/>
      <c r="O72" s="360"/>
      <c r="R72"/>
      <c r="S72"/>
      <c r="T72"/>
      <c r="U72"/>
    </row>
    <row r="73" spans="3:33" x14ac:dyDescent="0.3">
      <c r="C73" s="326"/>
      <c r="D73" s="51" t="str" cm="1">
        <f t="array" ref="D73">calculateSandwichItems($C73, D$65, $C$66)</f>
        <v/>
      </c>
      <c r="E73" s="51" t="str" cm="1">
        <f t="array" ref="E73">calculateSandwichItems($C73, E$65, $C$66)</f>
        <v/>
      </c>
      <c r="F73" s="51" t="str" cm="1">
        <f t="array" ref="F73">calculateSandwichItems($C73, F$65, $C$66)</f>
        <v/>
      </c>
      <c r="G73" s="51" t="str" cm="1">
        <f t="array" ref="G73">calculateSandwichItems($C73, G$65, $C$66)</f>
        <v/>
      </c>
      <c r="H73" s="51" t="str" cm="1">
        <f t="array" ref="H73">calculateSandwichItems($C73, H$65, $C$66)</f>
        <v/>
      </c>
      <c r="I73" s="51" t="str" cm="1">
        <f t="array" ref="I73">calculateSandwichItems($C73, I$65, $C$66)</f>
        <v/>
      </c>
      <c r="J73" s="51" t="str" cm="1">
        <f t="array" ref="J73">calculateSandwichItems($C73, J$65, $C$66)</f>
        <v/>
      </c>
      <c r="K73" s="51" t="str" cm="1">
        <f t="array" ref="K73">calculateSandwichItems($C73, K$65, $C$66)</f>
        <v/>
      </c>
      <c r="L73" s="51" t="str" cm="1">
        <f t="array" ref="L73">calculateSandwichItems($C73, L$65, $C$66)</f>
        <v/>
      </c>
      <c r="M73" s="327" t="str" cm="1">
        <f t="array" ref="M73">calculateSandwichItems($C73, M$65, $C$66)</f>
        <v/>
      </c>
      <c r="N73" s="361"/>
      <c r="O73" s="360"/>
      <c r="R73"/>
      <c r="S73"/>
      <c r="T73"/>
      <c r="U73"/>
    </row>
    <row r="74" spans="3:33" x14ac:dyDescent="0.3">
      <c r="C74" s="326"/>
      <c r="D74" s="51" t="str" cm="1">
        <f t="array" ref="D74">calculateSandwichItems($C74, D$65, $C$66)</f>
        <v/>
      </c>
      <c r="E74" s="51" t="str" cm="1">
        <f t="array" ref="E74">calculateSandwichItems($C74, E$65, $C$66)</f>
        <v/>
      </c>
      <c r="F74" s="51" t="str" cm="1">
        <f t="array" ref="F74">calculateSandwichItems($C74, F$65, $C$66)</f>
        <v/>
      </c>
      <c r="G74" s="51" t="str" cm="1">
        <f t="array" ref="G74">calculateSandwichItems($C74, G$65, $C$66)</f>
        <v/>
      </c>
      <c r="H74" s="51" t="str" cm="1">
        <f t="array" ref="H74">calculateSandwichItems($C74, H$65, $C$66)</f>
        <v/>
      </c>
      <c r="I74" s="51" t="str" cm="1">
        <f t="array" ref="I74">calculateSandwichItems($C74, I$65, $C$66)</f>
        <v/>
      </c>
      <c r="J74" s="51" t="str" cm="1">
        <f t="array" ref="J74">calculateSandwichItems($C74, J$65, $C$66)</f>
        <v/>
      </c>
      <c r="K74" s="51" t="str" cm="1">
        <f t="array" ref="K74">calculateSandwichItems($C74, K$65, $C$66)</f>
        <v/>
      </c>
      <c r="L74" s="51" t="str" cm="1">
        <f t="array" ref="L74">calculateSandwichItems($C74, L$65, $C$66)</f>
        <v/>
      </c>
      <c r="M74" s="327" t="str" cm="1">
        <f t="array" ref="M74">calculateSandwichItems($C74, M$65, $C$66)</f>
        <v/>
      </c>
      <c r="N74" s="361"/>
      <c r="O74" s="360"/>
      <c r="R74"/>
      <c r="S74"/>
      <c r="T74"/>
      <c r="U74"/>
    </row>
    <row r="75" spans="3:33" x14ac:dyDescent="0.3">
      <c r="C75" s="326"/>
      <c r="D75" s="51" t="str" cm="1">
        <f t="array" ref="D75">calculateSandwichItems($C75, D$65, $C$66)</f>
        <v/>
      </c>
      <c r="E75" s="51" t="str" cm="1">
        <f t="array" ref="E75">calculateSandwichItems($C75, E$65, $C$66)</f>
        <v/>
      </c>
      <c r="F75" s="51" t="str" cm="1">
        <f t="array" ref="F75">calculateSandwichItems($C75, F$65, $C$66)</f>
        <v/>
      </c>
      <c r="G75" s="51" t="str" cm="1">
        <f t="array" ref="G75">calculateSandwichItems($C75, G$65, $C$66)</f>
        <v/>
      </c>
      <c r="H75" s="51" t="str" cm="1">
        <f t="array" ref="H75">calculateSandwichItems($C75, H$65, $C$66)</f>
        <v/>
      </c>
      <c r="I75" s="51" t="str" cm="1">
        <f t="array" ref="I75">calculateSandwichItems($C75, I$65, $C$66)</f>
        <v/>
      </c>
      <c r="J75" s="51" t="str" cm="1">
        <f t="array" ref="J75">calculateSandwichItems($C75, J$65, $C$66)</f>
        <v/>
      </c>
      <c r="K75" s="51" t="str" cm="1">
        <f t="array" ref="K75">calculateSandwichItems($C75, K$65, $C$66)</f>
        <v/>
      </c>
      <c r="L75" s="51" t="str" cm="1">
        <f t="array" ref="L75">calculateSandwichItems($C75, L$65, $C$66)</f>
        <v/>
      </c>
      <c r="M75" s="327" t="str" cm="1">
        <f t="array" ref="M75">calculateSandwichItems($C75, M$65, $C$66)</f>
        <v/>
      </c>
      <c r="N75" s="361"/>
      <c r="O75" s="360"/>
      <c r="R75"/>
      <c r="S75"/>
      <c r="T75"/>
      <c r="U75"/>
    </row>
    <row r="76" spans="3:33" x14ac:dyDescent="0.3">
      <c r="C76" s="326"/>
      <c r="D76" s="51" t="str" cm="1">
        <f t="array" ref="D76">calculateSandwichItems($C76, D$65, $C$66)</f>
        <v/>
      </c>
      <c r="E76" s="51" t="str" cm="1">
        <f t="array" ref="E76">calculateSandwichItems($C76, E$65, $C$66)</f>
        <v/>
      </c>
      <c r="F76" s="51" t="str" cm="1">
        <f t="array" ref="F76">calculateSandwichItems($C76, F$65, $C$66)</f>
        <v/>
      </c>
      <c r="G76" s="51" t="str" cm="1">
        <f t="array" ref="G76">calculateSandwichItems($C76, G$65, $C$66)</f>
        <v/>
      </c>
      <c r="H76" s="51" t="str" cm="1">
        <f t="array" ref="H76">calculateSandwichItems($C76, H$65, $C$66)</f>
        <v/>
      </c>
      <c r="I76" s="51" t="str" cm="1">
        <f t="array" ref="I76">calculateSandwichItems($C76, I$65, $C$66)</f>
        <v/>
      </c>
      <c r="J76" s="51" t="str" cm="1">
        <f t="array" ref="J76">calculateSandwichItems($C76, J$65, $C$66)</f>
        <v/>
      </c>
      <c r="K76" s="51" t="str" cm="1">
        <f t="array" ref="K76">calculateSandwichItems($C76, K$65, $C$66)</f>
        <v/>
      </c>
      <c r="L76" s="51" t="str" cm="1">
        <f t="array" ref="L76">calculateSandwichItems($C76, L$65, $C$66)</f>
        <v/>
      </c>
      <c r="M76" s="327" t="str" cm="1">
        <f t="array" ref="M76">calculateSandwichItems($C76, M$65, $C$66)</f>
        <v/>
      </c>
      <c r="N76" s="361"/>
      <c r="O76" s="360"/>
      <c r="R76"/>
      <c r="S76"/>
      <c r="T76"/>
      <c r="U76"/>
    </row>
    <row r="77" spans="3:33" x14ac:dyDescent="0.3">
      <c r="C77" s="326"/>
      <c r="D77" s="51" t="str" cm="1">
        <f t="array" ref="D77">calculateSandwichItems($C77, D$65, $C$66)</f>
        <v/>
      </c>
      <c r="E77" s="51" t="str" cm="1">
        <f t="array" ref="E77">calculateSandwichItems($C77, E$65, $C$66)</f>
        <v/>
      </c>
      <c r="F77" s="51" t="str" cm="1">
        <f t="array" ref="F77">calculateSandwichItems($C77, F$65, $C$66)</f>
        <v/>
      </c>
      <c r="G77" s="51" t="str" cm="1">
        <f t="array" ref="G77">calculateSandwichItems($C77, G$65, $C$66)</f>
        <v/>
      </c>
      <c r="H77" s="51" t="str" cm="1">
        <f t="array" ref="H77">calculateSandwichItems($C77, H$65, $C$66)</f>
        <v/>
      </c>
      <c r="I77" s="51" t="str" cm="1">
        <f t="array" ref="I77">calculateSandwichItems($C77, I$65, $C$66)</f>
        <v/>
      </c>
      <c r="J77" s="51" t="str" cm="1">
        <f t="array" ref="J77">calculateSandwichItems($C77, J$65, $C$66)</f>
        <v/>
      </c>
      <c r="K77" s="51" t="str" cm="1">
        <f t="array" ref="K77">calculateSandwichItems($C77, K$65, $C$66)</f>
        <v/>
      </c>
      <c r="L77" s="51" t="str" cm="1">
        <f t="array" ref="L77">calculateSandwichItems($C77, L$65, $C$66)</f>
        <v/>
      </c>
      <c r="M77" s="327" t="str" cm="1">
        <f t="array" ref="M77">calculateSandwichItems($C77, M$65, $C$66)</f>
        <v/>
      </c>
      <c r="N77" s="361"/>
      <c r="O77" s="360"/>
      <c r="R77"/>
      <c r="S77"/>
      <c r="T77"/>
      <c r="U77"/>
    </row>
    <row r="78" spans="3:33" ht="29" thickBot="1" x14ac:dyDescent="0.35">
      <c r="C78" s="328"/>
      <c r="D78" s="329" t="str" cm="1">
        <f t="array" ref="D78">calculateSandwichItems($C78, D$65, $C$66)</f>
        <v/>
      </c>
      <c r="E78" s="329" t="str" cm="1">
        <f t="array" ref="E78">calculateSandwichItems($C78, E$65, $C$66)</f>
        <v/>
      </c>
      <c r="F78" s="329" t="str" cm="1">
        <f t="array" ref="F78">calculateSandwichItems($C78, F$65, $C$66)</f>
        <v/>
      </c>
      <c r="G78" s="329" t="str" cm="1">
        <f t="array" ref="G78">calculateSandwichItems($C78, G$65, $C$66)</f>
        <v/>
      </c>
      <c r="H78" s="329" t="str" cm="1">
        <f t="array" ref="H78">calculateSandwichItems($C78, H$65, $C$66)</f>
        <v/>
      </c>
      <c r="I78" s="329" t="str" cm="1">
        <f t="array" ref="I78">calculateSandwichItems($C78, I$65, $C$66)</f>
        <v/>
      </c>
      <c r="J78" s="329" t="str" cm="1">
        <f t="array" ref="J78">calculateSandwichItems($C78, J$65, $C$66)</f>
        <v/>
      </c>
      <c r="K78" s="329" t="str" cm="1">
        <f t="array" ref="K78">calculateSandwichItems($C78, K$65, $C$66)</f>
        <v/>
      </c>
      <c r="L78" s="329" t="str" cm="1">
        <f t="array" ref="L78">calculateSandwichItems($C78, L$65, $C$66)</f>
        <v/>
      </c>
      <c r="M78" s="330" t="str" cm="1">
        <f t="array" ref="M78">calculateSandwichItems($C78, M$65, $C$66)</f>
        <v/>
      </c>
      <c r="N78" s="361"/>
      <c r="O78" s="360"/>
      <c r="R78"/>
      <c r="S78"/>
      <c r="T78"/>
      <c r="U78"/>
    </row>
    <row r="79" spans="3:33" ht="29" thickBot="1" x14ac:dyDescent="0.35">
      <c r="C79" s="225" t="s">
        <v>254</v>
      </c>
      <c r="D79" s="226">
        <f>SUM(D67:D78)</f>
        <v>42</v>
      </c>
      <c r="E79" s="226">
        <f t="shared" ref="E79:M79" si="16">SUM(E67:E78)</f>
        <v>248</v>
      </c>
      <c r="F79" s="226">
        <f t="shared" si="16"/>
        <v>59.2</v>
      </c>
      <c r="G79" s="226">
        <f t="shared" si="16"/>
        <v>0.6</v>
      </c>
      <c r="H79" s="226">
        <f t="shared" si="16"/>
        <v>0.6</v>
      </c>
      <c r="I79" s="226">
        <f t="shared" si="16"/>
        <v>0</v>
      </c>
      <c r="J79" s="226">
        <f t="shared" si="16"/>
        <v>13</v>
      </c>
      <c r="K79" s="226">
        <f t="shared" si="16"/>
        <v>8.8000000000000007</v>
      </c>
      <c r="L79" s="226">
        <f t="shared" si="16"/>
        <v>0</v>
      </c>
      <c r="M79" s="227">
        <f t="shared" si="16"/>
        <v>189</v>
      </c>
      <c r="N79" s="361"/>
      <c r="O79" s="360"/>
      <c r="R79"/>
      <c r="S79"/>
      <c r="T79"/>
      <c r="U79"/>
    </row>
    <row r="80" spans="3:33" x14ac:dyDescent="0.3">
      <c r="N80" s="360"/>
      <c r="R80"/>
      <c r="S80"/>
      <c r="T80"/>
      <c r="U80"/>
    </row>
    <row r="81" spans="3:24" x14ac:dyDescent="0.3">
      <c r="R81"/>
      <c r="S81"/>
      <c r="T81"/>
      <c r="U81"/>
    </row>
    <row r="82" spans="3:24" ht="29" thickBot="1" x14ac:dyDescent="0.35">
      <c r="D82" s="185">
        <v>2</v>
      </c>
      <c r="E82" s="186">
        <v>3</v>
      </c>
      <c r="F82" s="186">
        <v>4</v>
      </c>
      <c r="G82" s="186">
        <v>5</v>
      </c>
      <c r="H82" s="186">
        <v>6</v>
      </c>
      <c r="I82" s="186">
        <v>7</v>
      </c>
      <c r="J82" s="186">
        <v>8</v>
      </c>
      <c r="K82" s="186">
        <v>9</v>
      </c>
      <c r="L82" s="186">
        <v>10</v>
      </c>
      <c r="M82" s="187">
        <v>11</v>
      </c>
      <c r="R82"/>
      <c r="S82"/>
      <c r="T82"/>
      <c r="U82"/>
      <c r="V82"/>
      <c r="W82"/>
      <c r="X82"/>
    </row>
    <row r="83" spans="3:24" ht="29" thickBot="1" x14ac:dyDescent="0.35">
      <c r="C83" s="232" t="s">
        <v>297</v>
      </c>
      <c r="D83" s="233" t="s">
        <v>140</v>
      </c>
      <c r="E83" s="233" t="s">
        <v>141</v>
      </c>
      <c r="F83" s="233" t="s">
        <v>142</v>
      </c>
      <c r="G83" s="233" t="s">
        <v>143</v>
      </c>
      <c r="H83" s="233" t="s">
        <v>144</v>
      </c>
      <c r="I83" s="233" t="s">
        <v>145</v>
      </c>
      <c r="J83" s="233" t="s">
        <v>146</v>
      </c>
      <c r="K83" s="233" t="s">
        <v>147</v>
      </c>
      <c r="L83" s="233" t="s">
        <v>148</v>
      </c>
      <c r="M83" s="234" t="s">
        <v>149</v>
      </c>
      <c r="R83"/>
      <c r="S83"/>
      <c r="T83"/>
      <c r="U83"/>
      <c r="V83"/>
      <c r="W83"/>
      <c r="X83"/>
    </row>
    <row r="84" spans="3:24" x14ac:dyDescent="0.3">
      <c r="C84" s="228" t="s">
        <v>299</v>
      </c>
      <c r="D84" s="182" t="str" cm="1">
        <f t="array" ref="D84">calculateSandwichItems($C84, D$82, $C$83)</f>
        <v/>
      </c>
      <c r="E84" s="182" t="str" cm="1">
        <f t="array" ref="E84">calculateSandwichItems($C84, E$82, $C$83)</f>
        <v/>
      </c>
      <c r="F84" s="182" t="str" cm="1">
        <f t="array" ref="F84">calculateSandwichItems($C84, F$82, $C$83)</f>
        <v/>
      </c>
      <c r="G84" s="182" t="str" cm="1">
        <f t="array" ref="G84">calculateSandwichItems($C84, G$82, $C$83)</f>
        <v/>
      </c>
      <c r="H84" s="182" t="str" cm="1">
        <f t="array" ref="H84">calculateSandwichItems($C84, H$82, $C$83)</f>
        <v/>
      </c>
      <c r="I84" s="182" t="str" cm="1">
        <f t="array" ref="I84">calculateSandwichItems($C84, I$82, $C$83)</f>
        <v/>
      </c>
      <c r="J84" s="182" t="str" cm="1">
        <f t="array" ref="J84">calculateSandwichItems($C84, J$82, $C$83)</f>
        <v/>
      </c>
      <c r="K84" s="182" t="str" cm="1">
        <f t="array" ref="K84">calculateSandwichItems($C84, K$82, $C$83)</f>
        <v/>
      </c>
      <c r="L84" s="182" t="str" cm="1">
        <f t="array" ref="L84">calculateSandwichItems($C84, L$82, $C$83)</f>
        <v/>
      </c>
      <c r="M84" s="182" t="str" cm="1">
        <f t="array" ref="M84">calculateSandwichItems($C84, M$82, $C$83)</f>
        <v/>
      </c>
      <c r="N84" s="361"/>
      <c r="O84" s="360"/>
      <c r="R84"/>
      <c r="S84"/>
      <c r="T84"/>
      <c r="U84"/>
      <c r="V84"/>
      <c r="W84"/>
      <c r="X84"/>
    </row>
    <row r="85" spans="3:24" ht="29" thickBot="1" x14ac:dyDescent="0.35">
      <c r="C85" s="239"/>
      <c r="D85" s="240" t="str" cm="1">
        <f t="array" ref="D85">calculateSandwichItems($C85, D$82, $C$83)</f>
        <v/>
      </c>
      <c r="E85" s="240" t="str" cm="1">
        <f t="array" ref="E85">calculateSandwichItems($C85, E$82, $C$83)</f>
        <v/>
      </c>
      <c r="F85" s="240" t="str" cm="1">
        <f t="array" ref="F85">calculateSandwichItems($C85, F$82, $C$83)</f>
        <v/>
      </c>
      <c r="G85" s="240" t="str" cm="1">
        <f t="array" ref="G85">calculateSandwichItems($C85, G$82, $C$83)</f>
        <v/>
      </c>
      <c r="H85" s="240" t="str" cm="1">
        <f t="array" ref="H85">calculateSandwichItems($C85, H$82, $C$83)</f>
        <v/>
      </c>
      <c r="I85" s="240" t="str" cm="1">
        <f t="array" ref="I85">calculateSandwichItems($C85, I$82, $C$83)</f>
        <v/>
      </c>
      <c r="J85" s="240" t="str" cm="1">
        <f t="array" ref="J85">calculateSandwichItems($C85, J$82, $C$83)</f>
        <v/>
      </c>
      <c r="K85" s="240" t="str" cm="1">
        <f t="array" ref="K85">calculateSandwichItems($C85, K$82, $C$83)</f>
        <v/>
      </c>
      <c r="L85" s="240" t="str" cm="1">
        <f t="array" ref="L85">calculateSandwichItems($C85, L$82, $C$83)</f>
        <v/>
      </c>
      <c r="M85" s="362" t="str" cm="1">
        <f t="array" ref="M85">calculateSandwichItems($C85, M$82, $C$83)</f>
        <v/>
      </c>
      <c r="N85" s="361"/>
      <c r="O85" s="360"/>
      <c r="R85"/>
      <c r="S85"/>
      <c r="T85"/>
      <c r="U85"/>
      <c r="V85"/>
      <c r="W85"/>
      <c r="X85"/>
    </row>
    <row r="86" spans="3:24" ht="29" thickBot="1" x14ac:dyDescent="0.35">
      <c r="C86" s="223" t="s">
        <v>254</v>
      </c>
      <c r="D86" s="224">
        <f>SUM(D84:D85)</f>
        <v>0</v>
      </c>
      <c r="E86" s="224">
        <f t="shared" ref="E86:M86" si="17">SUM(E84:E85)</f>
        <v>0</v>
      </c>
      <c r="F86" s="224">
        <f t="shared" si="17"/>
        <v>0</v>
      </c>
      <c r="G86" s="224">
        <f t="shared" si="17"/>
        <v>0</v>
      </c>
      <c r="H86" s="224">
        <f t="shared" si="17"/>
        <v>0</v>
      </c>
      <c r="I86" s="224">
        <f t="shared" si="17"/>
        <v>0</v>
      </c>
      <c r="J86" s="224">
        <f t="shared" si="17"/>
        <v>0</v>
      </c>
      <c r="K86" s="224">
        <f t="shared" si="17"/>
        <v>0</v>
      </c>
      <c r="L86" s="224">
        <f t="shared" si="17"/>
        <v>0</v>
      </c>
      <c r="M86" s="224">
        <f t="shared" si="17"/>
        <v>0</v>
      </c>
      <c r="N86" s="361"/>
      <c r="O86" s="360"/>
      <c r="R86"/>
      <c r="S86"/>
      <c r="T86"/>
      <c r="U86"/>
      <c r="V86"/>
      <c r="W86"/>
      <c r="X86"/>
    </row>
    <row r="87" spans="3:24" x14ac:dyDescent="0.3">
      <c r="U87"/>
      <c r="V87"/>
      <c r="W87"/>
      <c r="X87"/>
    </row>
    <row r="88" spans="3:24" x14ac:dyDescent="0.3">
      <c r="X88"/>
    </row>
    <row r="89" spans="3:24" x14ac:dyDescent="0.3">
      <c r="X89"/>
    </row>
    <row r="90" spans="3:24" x14ac:dyDescent="0.3">
      <c r="X90"/>
    </row>
    <row r="91" spans="3:24" x14ac:dyDescent="0.3">
      <c r="X91"/>
    </row>
    <row r="92" spans="3:24" x14ac:dyDescent="0.3">
      <c r="X92"/>
    </row>
    <row r="93" spans="3:24" x14ac:dyDescent="0.3">
      <c r="X93"/>
    </row>
    <row r="94" spans="3:24" x14ac:dyDescent="0.3">
      <c r="X94"/>
    </row>
    <row r="95" spans="3:24" x14ac:dyDescent="0.3">
      <c r="X95"/>
    </row>
    <row r="96" spans="3:24" x14ac:dyDescent="0.3">
      <c r="X96"/>
    </row>
    <row r="97" spans="2:33" x14ac:dyDescent="0.3">
      <c r="X97"/>
    </row>
    <row r="98" spans="2:33" x14ac:dyDescent="0.3">
      <c r="X98"/>
    </row>
    <row r="99" spans="2:33" x14ac:dyDescent="0.3">
      <c r="X99"/>
    </row>
    <row r="100" spans="2:33" x14ac:dyDescent="0.3">
      <c r="B100"/>
      <c r="R100"/>
      <c r="S100"/>
      <c r="T100"/>
      <c r="U100"/>
      <c r="V100"/>
      <c r="W100"/>
      <c r="X100"/>
    </row>
    <row r="101" spans="2:33" x14ac:dyDescent="0.3">
      <c r="B101"/>
      <c r="R101"/>
      <c r="S101"/>
      <c r="T101"/>
      <c r="U101"/>
    </row>
    <row r="102" spans="2:33" ht="10" customHeight="1" x14ac:dyDescent="0.3">
      <c r="B102"/>
      <c r="C102"/>
      <c r="D102"/>
      <c r="E102"/>
      <c r="F102"/>
      <c r="G102"/>
      <c r="H102"/>
      <c r="I102"/>
      <c r="J102"/>
      <c r="K102"/>
      <c r="L102"/>
      <c r="M102"/>
      <c r="N102"/>
      <c r="O102"/>
      <c r="P102"/>
      <c r="Q102"/>
      <c r="R102"/>
      <c r="S102"/>
      <c r="T102"/>
      <c r="U102"/>
      <c r="V102"/>
      <c r="W102"/>
      <c r="X102"/>
      <c r="Y102"/>
      <c r="Z102"/>
      <c r="AA102"/>
      <c r="AB102"/>
      <c r="AC102"/>
      <c r="AD102"/>
      <c r="AE102"/>
      <c r="AF102"/>
      <c r="AG102"/>
    </row>
    <row r="103" spans="2:33" x14ac:dyDescent="0.3">
      <c r="B103"/>
      <c r="C103"/>
      <c r="D103"/>
      <c r="E103"/>
      <c r="F103"/>
      <c r="G103"/>
      <c r="H103"/>
      <c r="I103"/>
      <c r="J103"/>
      <c r="K103"/>
      <c r="L103"/>
      <c r="M103"/>
      <c r="N103"/>
      <c r="O103"/>
      <c r="P103"/>
      <c r="Q103"/>
      <c r="R103"/>
      <c r="S103"/>
      <c r="T103"/>
      <c r="U103"/>
      <c r="V103"/>
      <c r="W103"/>
      <c r="X103"/>
      <c r="Y103"/>
      <c r="Z103"/>
      <c r="AA103"/>
      <c r="AB103"/>
      <c r="AC103"/>
      <c r="AD103"/>
      <c r="AE103"/>
      <c r="AF103"/>
      <c r="AG103"/>
    </row>
    <row r="104" spans="2:33" x14ac:dyDescent="0.3">
      <c r="B104"/>
    </row>
  </sheetData>
  <mergeCells count="10">
    <mergeCell ref="M5:M6"/>
    <mergeCell ref="L5:L6"/>
    <mergeCell ref="F5:F6"/>
    <mergeCell ref="E5:E6"/>
    <mergeCell ref="D5:D6"/>
    <mergeCell ref="K5:K6"/>
    <mergeCell ref="J5:J6"/>
    <mergeCell ref="I5:I6"/>
    <mergeCell ref="H5:H6"/>
    <mergeCell ref="G5:G6"/>
  </mergeCells>
  <pageMargins left="0.7" right="0.7" top="0.75" bottom="0.75" header="0.3" footer="0.3"/>
  <pageSetup paperSize="9" orientation="portrait" horizontalDpi="300" verticalDpi="30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4244D-AA3D-49CD-BF1C-F7A336BD7116}">
  <sheetPr codeName="Sheet16"/>
  <dimension ref="A1:K29"/>
  <sheetViews>
    <sheetView topLeftCell="A7" workbookViewId="0">
      <selection activeCell="A30" sqref="A30"/>
    </sheetView>
  </sheetViews>
  <sheetFormatPr defaultRowHeight="15.5" x14ac:dyDescent="0.3"/>
  <cols>
    <col min="1" max="1" width="44.09765625" style="10" bestFit="1" customWidth="1"/>
    <col min="2" max="2" width="18.19921875" style="10" bestFit="1" customWidth="1"/>
    <col min="3" max="3" width="14.09765625" style="10" bestFit="1" customWidth="1"/>
    <col min="4" max="4" width="16.19921875" style="10" bestFit="1" customWidth="1"/>
    <col min="5" max="5" width="13.796875" style="10" bestFit="1" customWidth="1"/>
    <col min="6" max="6" width="15.796875" style="10" bestFit="1" customWidth="1"/>
    <col min="7" max="7" width="13.69921875" style="10" bestFit="1" customWidth="1"/>
    <col min="8" max="8" width="21.3984375" style="10" bestFit="1" customWidth="1"/>
    <col min="9" max="9" width="13" style="10" bestFit="1" customWidth="1"/>
    <col min="10" max="10" width="19.3984375" style="10" bestFit="1" customWidth="1"/>
    <col min="11" max="11" width="16.09765625" style="10" bestFit="1" customWidth="1"/>
    <col min="12" max="16384" width="8.796875" style="10"/>
  </cols>
  <sheetData>
    <row r="1" spans="1:11" x14ac:dyDescent="0.3">
      <c r="A1" s="10" t="s">
        <v>150</v>
      </c>
      <c r="B1" s="10" t="s">
        <v>140</v>
      </c>
      <c r="C1" s="10" t="s">
        <v>141</v>
      </c>
      <c r="D1" s="10" t="s">
        <v>142</v>
      </c>
      <c r="E1" s="10" t="s">
        <v>143</v>
      </c>
      <c r="F1" s="10" t="s">
        <v>144</v>
      </c>
      <c r="G1" s="10" t="s">
        <v>145</v>
      </c>
      <c r="H1" s="10" t="s">
        <v>146</v>
      </c>
      <c r="I1" s="10" t="s">
        <v>147</v>
      </c>
      <c r="J1" s="10" t="s">
        <v>148</v>
      </c>
      <c r="K1" s="10" t="s">
        <v>149</v>
      </c>
    </row>
    <row r="2" spans="1:11" x14ac:dyDescent="0.3">
      <c r="A2" s="10" t="s">
        <v>347</v>
      </c>
      <c r="B2" s="21">
        <v>137</v>
      </c>
      <c r="C2" s="21">
        <v>1310</v>
      </c>
      <c r="D2" s="21">
        <v>312</v>
      </c>
      <c r="E2" s="21">
        <v>9.6999999999999993</v>
      </c>
      <c r="F2" s="21">
        <v>12.6</v>
      </c>
      <c r="G2" s="21">
        <v>1.5</v>
      </c>
      <c r="H2" s="21">
        <v>42.2</v>
      </c>
      <c r="I2" s="21">
        <v>2.7</v>
      </c>
      <c r="J2" s="21">
        <v>1.8</v>
      </c>
      <c r="K2" s="21">
        <v>239</v>
      </c>
    </row>
    <row r="3" spans="1:11" x14ac:dyDescent="0.3">
      <c r="A3" s="10" t="s">
        <v>348</v>
      </c>
      <c r="B3" s="21">
        <v>123</v>
      </c>
      <c r="C3" s="21">
        <v>1500</v>
      </c>
      <c r="D3" s="21">
        <v>359</v>
      </c>
      <c r="E3" s="21">
        <v>16.399999999999999</v>
      </c>
      <c r="F3" s="21">
        <v>14.4</v>
      </c>
      <c r="G3" s="21">
        <v>5.8</v>
      </c>
      <c r="H3" s="21">
        <v>39.299999999999997</v>
      </c>
      <c r="I3" s="21">
        <v>3.8</v>
      </c>
      <c r="J3" s="21">
        <v>2.1</v>
      </c>
      <c r="K3" s="21">
        <v>737</v>
      </c>
    </row>
    <row r="4" spans="1:11" x14ac:dyDescent="0.3">
      <c r="A4" s="10" t="s">
        <v>349</v>
      </c>
      <c r="B4" s="21">
        <v>94</v>
      </c>
      <c r="C4" s="21">
        <v>1110</v>
      </c>
      <c r="D4" s="21">
        <v>266</v>
      </c>
      <c r="E4" s="21">
        <v>9.6</v>
      </c>
      <c r="F4" s="21">
        <v>16.899999999999999</v>
      </c>
      <c r="G4" s="21">
        <v>5</v>
      </c>
      <c r="H4" s="21">
        <v>19.3</v>
      </c>
      <c r="I4" s="21">
        <v>2.2999999999999998</v>
      </c>
      <c r="J4" s="21">
        <v>3.5</v>
      </c>
      <c r="K4" s="21">
        <v>378</v>
      </c>
    </row>
    <row r="5" spans="1:11" x14ac:dyDescent="0.3">
      <c r="A5" s="10" t="s">
        <v>350</v>
      </c>
      <c r="B5" s="21">
        <v>93</v>
      </c>
      <c r="C5" s="21">
        <v>1140</v>
      </c>
      <c r="D5" s="21">
        <v>272</v>
      </c>
      <c r="E5" s="21">
        <v>8.4</v>
      </c>
      <c r="F5" s="21">
        <v>8.5</v>
      </c>
      <c r="G5" s="21">
        <v>1.5</v>
      </c>
      <c r="H5" s="21">
        <v>39.299999999999997</v>
      </c>
      <c r="I5" s="21">
        <v>3.8</v>
      </c>
      <c r="J5" s="21">
        <v>2.1</v>
      </c>
      <c r="K5" s="21">
        <v>590</v>
      </c>
    </row>
    <row r="6" spans="1:11" x14ac:dyDescent="0.3">
      <c r="A6" s="10" t="s">
        <v>351</v>
      </c>
      <c r="B6" s="21">
        <v>127</v>
      </c>
      <c r="C6" s="21">
        <v>1040</v>
      </c>
      <c r="D6" s="21">
        <v>248</v>
      </c>
      <c r="E6" s="21">
        <v>13.8</v>
      </c>
      <c r="F6" s="21">
        <v>6.4</v>
      </c>
      <c r="G6" s="21">
        <v>2.7</v>
      </c>
      <c r="H6" s="21">
        <v>32.5</v>
      </c>
      <c r="I6" s="21">
        <v>4.7</v>
      </c>
      <c r="J6" s="21">
        <v>1.8</v>
      </c>
      <c r="K6" s="21">
        <v>568</v>
      </c>
    </row>
    <row r="7" spans="1:11" x14ac:dyDescent="0.3">
      <c r="A7" s="10" t="s">
        <v>352</v>
      </c>
      <c r="B7" s="21">
        <v>194</v>
      </c>
      <c r="C7" s="21">
        <v>1060</v>
      </c>
      <c r="D7" s="21">
        <v>254</v>
      </c>
      <c r="E7" s="21">
        <v>110</v>
      </c>
      <c r="F7" s="21">
        <v>12.2</v>
      </c>
      <c r="G7" s="21">
        <v>5.4</v>
      </c>
      <c r="H7" s="21">
        <v>14.6</v>
      </c>
      <c r="I7" s="21">
        <v>7.6</v>
      </c>
      <c r="J7" s="21">
        <v>2.2000000000000002</v>
      </c>
      <c r="K7" s="21">
        <v>746</v>
      </c>
    </row>
    <row r="8" spans="1:11" x14ac:dyDescent="0.3">
      <c r="K8" s="21"/>
    </row>
    <row r="9" spans="1:11" x14ac:dyDescent="0.3">
      <c r="A9" s="10" t="s">
        <v>151</v>
      </c>
      <c r="B9" s="10" t="s">
        <v>140</v>
      </c>
      <c r="C9" s="10" t="s">
        <v>141</v>
      </c>
      <c r="D9" s="10" t="s">
        <v>142</v>
      </c>
      <c r="E9" s="10" t="s">
        <v>143</v>
      </c>
      <c r="F9" s="10" t="s">
        <v>144</v>
      </c>
      <c r="G9" s="10" t="s">
        <v>145</v>
      </c>
      <c r="H9" s="10" t="s">
        <v>146</v>
      </c>
      <c r="I9" s="10" t="s">
        <v>147</v>
      </c>
      <c r="J9" s="10" t="s">
        <v>148</v>
      </c>
      <c r="K9" s="10" t="s">
        <v>149</v>
      </c>
    </row>
    <row r="10" spans="1:11" x14ac:dyDescent="0.3">
      <c r="A10" s="10" t="s">
        <v>133</v>
      </c>
      <c r="B10" s="21">
        <v>45</v>
      </c>
      <c r="C10" s="21">
        <v>909</v>
      </c>
      <c r="D10" s="21">
        <v>217</v>
      </c>
      <c r="E10" s="21">
        <v>2.4</v>
      </c>
      <c r="F10" s="21">
        <v>10.4</v>
      </c>
      <c r="G10" s="21">
        <v>6.5</v>
      </c>
      <c r="H10" s="21">
        <v>28.5</v>
      </c>
      <c r="I10" s="21">
        <v>17.5</v>
      </c>
      <c r="J10" s="21">
        <v>0.9</v>
      </c>
      <c r="K10" s="21">
        <v>161</v>
      </c>
    </row>
    <row r="11" spans="1:11" x14ac:dyDescent="0.3">
      <c r="A11" s="10" t="s">
        <v>153</v>
      </c>
      <c r="B11" s="21">
        <v>45</v>
      </c>
      <c r="C11" s="21">
        <v>891</v>
      </c>
      <c r="D11" s="21">
        <v>213</v>
      </c>
      <c r="E11" s="21">
        <v>2.5</v>
      </c>
      <c r="F11" s="21">
        <v>9.8000000000000007</v>
      </c>
      <c r="G11" s="21">
        <v>5.4</v>
      </c>
      <c r="H11" s="21">
        <v>28.5</v>
      </c>
      <c r="I11" s="21">
        <v>16.7</v>
      </c>
      <c r="J11" s="21">
        <v>0.9</v>
      </c>
      <c r="K11" s="21">
        <v>172</v>
      </c>
    </row>
    <row r="12" spans="1:11" x14ac:dyDescent="0.3">
      <c r="A12" s="10" t="s">
        <v>134</v>
      </c>
      <c r="B12" s="21">
        <v>45</v>
      </c>
      <c r="C12" s="21">
        <v>891</v>
      </c>
      <c r="D12" s="21">
        <v>213</v>
      </c>
      <c r="E12" s="21">
        <v>2.5</v>
      </c>
      <c r="F12" s="21">
        <v>9.9</v>
      </c>
      <c r="G12" s="21">
        <v>6.8</v>
      </c>
      <c r="H12" s="21">
        <v>28.4</v>
      </c>
      <c r="I12" s="21">
        <v>18.5</v>
      </c>
      <c r="J12" s="21">
        <v>1.2</v>
      </c>
      <c r="K12" s="21">
        <v>160</v>
      </c>
    </row>
    <row r="13" spans="1:11" x14ac:dyDescent="0.3">
      <c r="A13" s="10" t="s">
        <v>135</v>
      </c>
      <c r="B13" s="21">
        <v>45</v>
      </c>
      <c r="C13" s="21">
        <v>796</v>
      </c>
      <c r="D13" s="21">
        <v>190</v>
      </c>
      <c r="E13" s="21">
        <v>2.5</v>
      </c>
      <c r="F13" s="21">
        <v>6.9</v>
      </c>
      <c r="G13" s="21">
        <v>3.4</v>
      </c>
      <c r="H13" s="21">
        <v>29.3</v>
      </c>
      <c r="I13" s="21">
        <v>17.5</v>
      </c>
      <c r="J13" s="21">
        <v>1.4</v>
      </c>
      <c r="K13" s="21">
        <v>176</v>
      </c>
    </row>
    <row r="14" spans="1:11" x14ac:dyDescent="0.3">
      <c r="A14" s="10" t="s">
        <v>136</v>
      </c>
      <c r="B14" s="21">
        <v>45</v>
      </c>
      <c r="C14" s="21">
        <v>914</v>
      </c>
      <c r="D14" s="21">
        <v>218</v>
      </c>
      <c r="E14" s="21">
        <v>2.6</v>
      </c>
      <c r="F14" s="21">
        <v>11</v>
      </c>
      <c r="G14" s="21">
        <v>6.3</v>
      </c>
      <c r="H14" s="21">
        <v>27.2</v>
      </c>
      <c r="I14" s="21">
        <v>17.3</v>
      </c>
      <c r="J14" s="21">
        <v>0.8</v>
      </c>
      <c r="K14" s="21">
        <v>196</v>
      </c>
    </row>
    <row r="16" spans="1:11" x14ac:dyDescent="0.3">
      <c r="A16" s="10" t="s">
        <v>323</v>
      </c>
      <c r="B16" s="10" t="s">
        <v>140</v>
      </c>
      <c r="C16" s="10" t="s">
        <v>141</v>
      </c>
      <c r="D16" s="10" t="s">
        <v>142</v>
      </c>
      <c r="E16" s="10" t="s">
        <v>143</v>
      </c>
      <c r="F16" s="10" t="s">
        <v>144</v>
      </c>
      <c r="G16" s="10" t="s">
        <v>145</v>
      </c>
      <c r="H16" s="10" t="s">
        <v>146</v>
      </c>
      <c r="I16" s="10" t="s">
        <v>147</v>
      </c>
      <c r="J16" s="10" t="s">
        <v>148</v>
      </c>
      <c r="K16" s="10" t="s">
        <v>149</v>
      </c>
    </row>
    <row r="17" spans="1:11" x14ac:dyDescent="0.3">
      <c r="A17" s="10" t="s">
        <v>137</v>
      </c>
      <c r="B17" s="21">
        <v>115</v>
      </c>
      <c r="C17" s="21">
        <v>1420</v>
      </c>
      <c r="D17" s="21">
        <v>338</v>
      </c>
      <c r="E17" s="21">
        <v>6.1</v>
      </c>
      <c r="F17" s="21">
        <v>15.5</v>
      </c>
      <c r="G17" s="21">
        <v>9.1</v>
      </c>
      <c r="H17" s="21">
        <v>42.5</v>
      </c>
      <c r="I17" s="21">
        <v>13.9</v>
      </c>
      <c r="J17" s="21">
        <v>0</v>
      </c>
      <c r="K17" s="21">
        <v>357</v>
      </c>
    </row>
    <row r="18" spans="1:11" x14ac:dyDescent="0.3">
      <c r="A18" s="10" t="s">
        <v>138</v>
      </c>
      <c r="B18" s="21">
        <v>115</v>
      </c>
      <c r="C18" s="21">
        <v>1380</v>
      </c>
      <c r="D18" s="21">
        <v>329</v>
      </c>
      <c r="E18" s="21">
        <v>5.6</v>
      </c>
      <c r="F18" s="21">
        <v>14.8</v>
      </c>
      <c r="G18" s="21">
        <v>8.6</v>
      </c>
      <c r="H18" s="21">
        <v>42.2</v>
      </c>
      <c r="I18" s="21">
        <v>14.3</v>
      </c>
      <c r="J18" s="21">
        <v>0</v>
      </c>
      <c r="K18" s="21">
        <v>344</v>
      </c>
    </row>
    <row r="19" spans="1:11" x14ac:dyDescent="0.3">
      <c r="A19" s="10" t="s">
        <v>139</v>
      </c>
      <c r="B19" s="21">
        <v>115</v>
      </c>
      <c r="C19" s="21">
        <v>1420</v>
      </c>
      <c r="D19" s="21">
        <v>338</v>
      </c>
      <c r="E19" s="21">
        <v>5.9</v>
      </c>
      <c r="F19" s="21">
        <v>36.200000000000003</v>
      </c>
      <c r="G19" s="21">
        <v>9.1</v>
      </c>
      <c r="H19" s="21">
        <v>43.1</v>
      </c>
      <c r="I19" s="21">
        <v>13.2</v>
      </c>
      <c r="J19" s="21">
        <v>0</v>
      </c>
      <c r="K19" s="21">
        <v>337</v>
      </c>
    </row>
    <row r="21" spans="1:11" x14ac:dyDescent="0.3">
      <c r="A21" s="10" t="s">
        <v>203</v>
      </c>
      <c r="B21" s="10" t="s">
        <v>140</v>
      </c>
      <c r="C21" s="10" t="s">
        <v>141</v>
      </c>
      <c r="D21" s="10" t="s">
        <v>142</v>
      </c>
      <c r="E21" s="10" t="s">
        <v>143</v>
      </c>
      <c r="F21" s="10" t="s">
        <v>144</v>
      </c>
      <c r="G21" s="10" t="s">
        <v>145</v>
      </c>
      <c r="H21" s="10" t="s">
        <v>146</v>
      </c>
      <c r="I21" s="10" t="s">
        <v>147</v>
      </c>
      <c r="J21" s="10" t="s">
        <v>148</v>
      </c>
      <c r="K21" s="10" t="s">
        <v>149</v>
      </c>
    </row>
    <row r="22" spans="1:11" x14ac:dyDescent="0.3">
      <c r="A22" s="10" t="s">
        <v>204</v>
      </c>
      <c r="B22" s="21">
        <v>425</v>
      </c>
      <c r="C22" s="21">
        <v>931</v>
      </c>
      <c r="D22" s="21">
        <v>223</v>
      </c>
      <c r="E22" s="21">
        <v>2.1</v>
      </c>
      <c r="F22" s="21">
        <v>0.6</v>
      </c>
      <c r="G22" s="21">
        <v>0.2</v>
      </c>
      <c r="H22" s="21">
        <v>55.7</v>
      </c>
      <c r="I22" s="21">
        <v>38.6</v>
      </c>
      <c r="J22" s="21">
        <v>4</v>
      </c>
      <c r="K22" s="21">
        <v>2</v>
      </c>
    </row>
    <row r="23" spans="1:11" x14ac:dyDescent="0.3">
      <c r="A23" s="10" t="s">
        <v>205</v>
      </c>
      <c r="B23" s="21">
        <v>425</v>
      </c>
      <c r="C23" s="21">
        <v>785</v>
      </c>
      <c r="D23" s="21">
        <v>188</v>
      </c>
      <c r="E23" s="21">
        <v>2.2000000000000002</v>
      </c>
      <c r="F23" s="21">
        <v>0.6</v>
      </c>
      <c r="G23" s="21">
        <v>0.2</v>
      </c>
      <c r="H23" s="21">
        <v>46.6</v>
      </c>
      <c r="I23" s="21">
        <v>24.2</v>
      </c>
      <c r="J23" s="21">
        <v>4.2</v>
      </c>
      <c r="K23" s="21">
        <v>26</v>
      </c>
    </row>
    <row r="24" spans="1:11" x14ac:dyDescent="0.3">
      <c r="A24" s="10" t="s">
        <v>206</v>
      </c>
      <c r="B24" s="21">
        <v>425</v>
      </c>
      <c r="C24" s="21">
        <v>846</v>
      </c>
      <c r="D24" s="21">
        <v>202</v>
      </c>
      <c r="E24" s="21">
        <v>1.6</v>
      </c>
      <c r="F24" s="21">
        <v>0.4</v>
      </c>
      <c r="G24" s="21">
        <v>0.2</v>
      </c>
      <c r="H24" s="21">
        <v>50.6</v>
      </c>
      <c r="I24" s="21">
        <v>35.4</v>
      </c>
      <c r="J24" s="21">
        <v>3.3</v>
      </c>
      <c r="K24" s="21">
        <v>2</v>
      </c>
    </row>
    <row r="26" spans="1:11" x14ac:dyDescent="0.3">
      <c r="A26" s="10" t="s">
        <v>310</v>
      </c>
      <c r="B26" s="10" t="s">
        <v>140</v>
      </c>
      <c r="C26" s="10" t="s">
        <v>141</v>
      </c>
      <c r="D26" s="10" t="s">
        <v>142</v>
      </c>
      <c r="E26" s="10" t="s">
        <v>143</v>
      </c>
      <c r="F26" s="10" t="s">
        <v>144</v>
      </c>
      <c r="G26" s="10" t="s">
        <v>145</v>
      </c>
      <c r="H26" s="10" t="s">
        <v>146</v>
      </c>
      <c r="I26" s="10" t="s">
        <v>147</v>
      </c>
      <c r="J26" s="10" t="s">
        <v>148</v>
      </c>
      <c r="K26" s="10" t="s">
        <v>149</v>
      </c>
    </row>
    <row r="27" spans="1:11" x14ac:dyDescent="0.3">
      <c r="A27" s="10" t="s">
        <v>365</v>
      </c>
      <c r="B27" s="21">
        <v>120</v>
      </c>
      <c r="C27" s="21">
        <v>370</v>
      </c>
      <c r="D27" s="21">
        <v>88.4</v>
      </c>
      <c r="E27" s="21">
        <v>0.4</v>
      </c>
      <c r="F27" s="21">
        <v>0.2</v>
      </c>
      <c r="G27" s="21">
        <v>0</v>
      </c>
      <c r="H27" s="21">
        <v>20.3</v>
      </c>
      <c r="I27" s="21">
        <v>18.399999999999999</v>
      </c>
      <c r="J27" s="21">
        <v>1.1000000000000001</v>
      </c>
      <c r="K27" s="21">
        <v>20</v>
      </c>
    </row>
    <row r="28" spans="1:11" x14ac:dyDescent="0.3">
      <c r="A28" s="10" t="s">
        <v>366</v>
      </c>
      <c r="B28" s="21">
        <v>120</v>
      </c>
      <c r="C28" s="21">
        <v>340</v>
      </c>
      <c r="D28" s="21">
        <v>81.3</v>
      </c>
      <c r="E28" s="21">
        <v>0.1</v>
      </c>
      <c r="F28" s="21">
        <v>0.4</v>
      </c>
      <c r="G28" s="21">
        <v>0.1</v>
      </c>
      <c r="H28" s="21">
        <v>18.399999999999999</v>
      </c>
      <c r="I28" s="21">
        <v>16.3</v>
      </c>
      <c r="J28" s="21">
        <v>1.6</v>
      </c>
      <c r="K28" s="21">
        <v>5</v>
      </c>
    </row>
    <row r="29" spans="1:11" x14ac:dyDescent="0.3">
      <c r="A29" s="10" t="s">
        <v>367</v>
      </c>
      <c r="B29" s="21">
        <v>120</v>
      </c>
      <c r="C29" s="21">
        <v>340</v>
      </c>
      <c r="D29" s="21">
        <v>81.3</v>
      </c>
      <c r="E29" s="21">
        <v>0.1</v>
      </c>
      <c r="F29" s="21">
        <v>0.4</v>
      </c>
      <c r="G29" s="21">
        <v>0.1</v>
      </c>
      <c r="H29" s="21">
        <v>18.2</v>
      </c>
      <c r="I29" s="21">
        <v>16.100000000000001</v>
      </c>
      <c r="J29" s="21">
        <v>1.4</v>
      </c>
      <c r="K29" s="21">
        <v>5</v>
      </c>
    </row>
  </sheetData>
  <pageMargins left="0.7" right="0.7" top="0.75" bottom="0.75" header="0.3" footer="0.3"/>
  <tableParts count="5">
    <tablePart r:id="rId1"/>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4B2065E77FE76469C99012F3A7CC612" ma:contentTypeVersion="7" ma:contentTypeDescription="Create a new document." ma:contentTypeScope="" ma:versionID="02bde0545de8521683abc6a5fae978ea">
  <xsd:schema xmlns:xsd="http://www.w3.org/2001/XMLSchema" xmlns:xs="http://www.w3.org/2001/XMLSchema" xmlns:p="http://schemas.microsoft.com/office/2006/metadata/properties" xmlns:ns3="d3b94123-ca6f-40dc-998e-289292037784" xmlns:ns4="7c249a16-bd5c-4dfe-95c9-a81be099ee29" targetNamespace="http://schemas.microsoft.com/office/2006/metadata/properties" ma:root="true" ma:fieldsID="07717d4218288d7f30a48a45b75efe6f" ns3:_="" ns4:_="">
    <xsd:import namespace="d3b94123-ca6f-40dc-998e-289292037784"/>
    <xsd:import namespace="7c249a16-bd5c-4dfe-95c9-a81be099ee29"/>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b94123-ca6f-40dc-998e-28929203778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c249a16-bd5c-4dfe-95c9-a81be099ee29"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604157-4499-418B-BDFA-218F9200AEEA}">
  <ds:schemaRefs>
    <ds:schemaRef ds:uri="7c249a16-bd5c-4dfe-95c9-a81be099ee29"/>
    <ds:schemaRef ds:uri="d3b94123-ca6f-40dc-998e-289292037784"/>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http://purl.org/dc/term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31EE5E4E-4212-4616-B8B3-CAD8F2FC912C}">
  <ds:schemaRefs>
    <ds:schemaRef ds:uri="http://schemas.microsoft.com/sharepoint/v3/contenttype/forms"/>
  </ds:schemaRefs>
</ds:datastoreItem>
</file>

<file path=customXml/itemProps3.xml><?xml version="1.0" encoding="utf-8"?>
<ds:datastoreItem xmlns:ds="http://schemas.openxmlformats.org/officeDocument/2006/customXml" ds:itemID="{722DE202-146C-482B-BF48-3260167C053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b94123-ca6f-40dc-998e-289292037784"/>
    <ds:schemaRef ds:uri="7c249a16-bd5c-4dfe-95c9-a81be099ee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OG sheet 1</vt:lpstr>
      <vt:lpstr>OG sheet 2</vt:lpstr>
      <vt:lpstr>Cleaned sheet 1</vt:lpstr>
      <vt:lpstr>Cleaned sheet 2</vt:lpstr>
      <vt:lpstr>Meat</vt:lpstr>
      <vt:lpstr>Formulas</vt:lpstr>
      <vt:lpstr>Bread</vt:lpstr>
      <vt:lpstr>Sandwich Items</vt:lpstr>
      <vt:lpstr>Cheese</vt:lpstr>
      <vt:lpstr>Toppings</vt:lpstr>
      <vt:lpstr>Sandwich UI</vt:lpstr>
      <vt:lpstr>Sides UI</vt:lpstr>
      <vt:lpstr>Selections</vt:lpstr>
      <vt:lpstr>Vegetables</vt:lpstr>
      <vt:lpstr>Dressings</vt:lpstr>
      <vt:lpstr>Meal UI</vt:lpstr>
      <vt:lpstr>Nutritional Info</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Jasmin Chiu</dc:creator>
  <cp:lastModifiedBy>Jasmin Chiu</cp:lastModifiedBy>
  <dcterms:created xsi:type="dcterms:W3CDTF">2022-08-07T03:16:30Z</dcterms:created>
  <dcterms:modified xsi:type="dcterms:W3CDTF">2023-03-14T23:00:29Z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0x010100B4B2065E77FE76469C99012F3A7CC612</vt:lpwstr>
  </property>
</Properties>
</file>